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admin\Desktop\Excel Project\"/>
    </mc:Choice>
  </mc:AlternateContent>
  <xr:revisionPtr revIDLastSave="0" documentId="13_ncr:1_{A3226A8C-C14B-4692-8A87-6716AF74C78B}" xr6:coauthVersionLast="47" xr6:coauthVersionMax="47" xr10:uidLastSave="{00000000-0000-0000-0000-000000000000}"/>
  <bookViews>
    <workbookView xWindow="-108" yWindow="-108" windowWidth="23256" windowHeight="12456" tabRatio="766" firstSheet="14" activeTab="23" xr2:uid="{E50DC07D-A65A-4A30-B4B2-293139B17F8F}"/>
  </bookViews>
  <sheets>
    <sheet name="Posts" sheetId="8" r:id="rId1"/>
    <sheet name="Engagement Summary" sheetId="10" r:id="rId2"/>
    <sheet name="Campaign Metadata" sheetId="9" r:id="rId3"/>
    <sheet name="Task 2.1" sheetId="4" r:id="rId4"/>
    <sheet name="Task 2.2" sheetId="3" r:id="rId5"/>
    <sheet name="Task 2.3a" sheetId="5" r:id="rId6"/>
    <sheet name="Task 2.3b" sheetId="1" r:id="rId7"/>
    <sheet name="Task 2.4" sheetId="6" r:id="rId8"/>
    <sheet name="Task 3.1" sheetId="7" r:id="rId9"/>
    <sheet name="Task 3.2" sheetId="13" r:id="rId10"/>
    <sheet name="Task 3.3 &amp; 3.4" sheetId="14" r:id="rId11"/>
    <sheet name="Task 4.1" sheetId="17" r:id="rId12"/>
    <sheet name="Task 4.2" sheetId="19" r:id="rId13"/>
    <sheet name="Task 4.3" sheetId="20" r:id="rId14"/>
    <sheet name="Task 4.4" sheetId="21" r:id="rId15"/>
    <sheet name="Task 5.1a" sheetId="22" r:id="rId16"/>
    <sheet name="Task 5.1b" sheetId="29" r:id="rId17"/>
    <sheet name="Task 5.2" sheetId="25" r:id="rId18"/>
    <sheet name="Task 6.1 " sheetId="27" r:id="rId19"/>
    <sheet name="Task 6.2" sheetId="31" r:id="rId20"/>
    <sheet name="Task 6.3" sheetId="32" r:id="rId21"/>
    <sheet name="Task 6.4" sheetId="34" r:id="rId22"/>
    <sheet name="Sheet" sheetId="33" r:id="rId23"/>
    <sheet name="Approach Document and Video Lin" sheetId="35" r:id="rId24"/>
  </sheets>
  <definedNames>
    <definedName name="Ad_Spend" localSheetId="2">'Campaign Metadata'!$E$2:$E$6</definedName>
    <definedName name="Ad_Spend">'Engagement Summary'!$G$2:$G$201</definedName>
    <definedName name="Campaign" localSheetId="0">Posts!$L$2:$L$568</definedName>
    <definedName name="Campaign">'Engagement Summary'!$H$2:$H$201</definedName>
    <definedName name="Campaign_End_Date">Posts!$O$2:$O$568</definedName>
    <definedName name="Campaign_Name">'Campaign Metadata'!$A$2:$A$6</definedName>
    <definedName name="Campaign_Start_Date">Posts!$N$2:$N$568</definedName>
    <definedName name="Clicks">Posts!$I$2:$I$568</definedName>
    <definedName name="Comments">Posts!$H$2:$H$568</definedName>
    <definedName name="ContentType">Posts!$D$2:$D$568</definedName>
    <definedName name="Date">Posts!$C$2:$C$568</definedName>
    <definedName name="End_Date">'Campaign Metadata'!$C$2:$C$6</definedName>
    <definedName name="Engagement_Rate" localSheetId="0">Posts!$M$2:$M$568</definedName>
    <definedName name="Engagement_Rate">'Engagement Summary'!$F$2:$F$201</definedName>
    <definedName name="Engagement_Uplift">'Campaign Metadata'!$G$2:$G$6</definedName>
    <definedName name="Hashtags">Posts!$E$2:$E$568</definedName>
    <definedName name="Impressions" localSheetId="2">'Campaign Metadata'!$F$2:$F$6</definedName>
    <definedName name="Impressions">Posts!$K$2:$K$568</definedName>
    <definedName name="Likes">Posts!$F$2:$F$568</definedName>
    <definedName name="NativeTimeline_Week_Start_Date">#N/A</definedName>
    <definedName name="New_Followers">'Engagement Summary'!$C$2:$C$201</definedName>
    <definedName name="Objective">'Campaign Metadata'!$D$2:$D$6</definedName>
    <definedName name="Platform" localSheetId="0">Posts!$B$2:$B$568</definedName>
    <definedName name="Platform">'Engagement Summary'!$B$2:$B$201</definedName>
    <definedName name="PostID">Posts!$A$2:$A$568</definedName>
    <definedName name="Reach">Posts!$J$2:$J$568</definedName>
    <definedName name="Shares">Posts!$G$2:$G$568</definedName>
    <definedName name="Start_Date">'Campaign Metadata'!$B$2:$B$6</definedName>
    <definedName name="Timeline">Posts!$P$2:$P$568</definedName>
    <definedName name="Total_Followers">'Engagement Summary'!$E$2:$E$201</definedName>
    <definedName name="Unfollows">'Engagement Summary'!$D$2:$D$201</definedName>
    <definedName name="Week_Start_Date">'Engagement Summary'!$A$2:$A$201</definedName>
  </definedNames>
  <calcPr calcId="191029"/>
  <pivotCaches>
    <pivotCache cacheId="0" r:id="rId25"/>
    <pivotCache cacheId="1" r:id="rId26"/>
    <pivotCache cacheId="2" r:id="rId27"/>
    <pivotCache cacheId="3" r:id="rId28"/>
    <pivotCache cacheId="4" r:id="rId29"/>
    <pivotCache cacheId="5" r:id="rId30"/>
    <pivotCache cacheId="6" r:id="rId31"/>
    <pivotCache cacheId="7" r:id="rId32"/>
    <pivotCache cacheId="8" r:id="rId33"/>
    <pivotCache cacheId="9" r:id="rId34"/>
    <pivotCache cacheId="10" r:id="rId35"/>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3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s_f654d034-1e06-43a1-9894-02027d85b7f7" name="Posts" connection="Query - Posts"/>
          <x15:modelTable id="Engagement Summary_abe89ef0-402b-44b3-b883-4fc52a5acb28" name="Engagement Summary" connection="Query - Engagement Summary"/>
          <x15:modelTable id="Campaign Metadata_c65712c7-6ac8-436e-a556-f432de946f98" name="Campaign Metadata" connection="Query - Campaign Metadata"/>
        </x15:modelTables>
        <x15:modelRelationships>
          <x15:modelRelationship fromTable="Posts" fromColumn="Campaign" toTable="Campaign Metadata" toColumn="Campaign_Name"/>
          <x15:modelRelationship fromTable="Engagement Summary" fromColumn="Week_Start_Date" toTable="Campaign Metadata" toColumn="Start_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9" l="1"/>
  <c r="B7" i="29"/>
  <c r="B12" i="7"/>
  <c r="H3" i="9"/>
  <c r="H4" i="9"/>
  <c r="H5" i="9"/>
  <c r="H6" i="9"/>
  <c r="H2" i="9"/>
  <c r="A4" i="22" a="1"/>
  <c r="A4" i="22" s="1"/>
  <c r="C4" i="22" s="1"/>
  <c r="A10" i="7" a="1"/>
  <c r="A10" i="7" s="1"/>
  <c r="B10" i="7" s="1"/>
  <c r="B4" i="6" a="1"/>
  <c r="B4" i="6" s="1"/>
  <c r="C4" i="6" s="1"/>
  <c r="G8" i="22" l="1"/>
  <c r="E4" i="22"/>
  <c r="B8" i="22"/>
  <c r="C6" i="22"/>
  <c r="C5" i="22"/>
  <c r="D4" i="22"/>
  <c r="B5" i="22"/>
  <c r="D8" i="22"/>
  <c r="E5" i="22"/>
  <c r="G7" i="22"/>
  <c r="C8" i="22"/>
  <c r="F6" i="22"/>
  <c r="F5" i="22"/>
  <c r="F4" i="22"/>
  <c r="B7" i="22"/>
  <c r="G4" i="22"/>
  <c r="E6" i="22"/>
  <c r="B4" i="22"/>
  <c r="D7" i="22"/>
  <c r="F8" i="22"/>
  <c r="G6" i="22"/>
  <c r="D5" i="22"/>
  <c r="C7" i="22"/>
  <c r="E8" i="22"/>
  <c r="E7" i="22"/>
  <c r="B6" i="22"/>
  <c r="D6" i="22"/>
  <c r="F7" i="22"/>
  <c r="G5" i="22"/>
  <c r="B13" i="7"/>
  <c r="B11" i="7"/>
  <c r="C10" i="6"/>
  <c r="C7" i="6"/>
  <c r="C12" i="6"/>
  <c r="C19" i="6"/>
  <c r="C18" i="6"/>
  <c r="C9" i="6"/>
  <c r="C8" i="6"/>
  <c r="C14" i="6"/>
  <c r="C6" i="6"/>
  <c r="C20" i="6"/>
  <c r="C11" i="6"/>
  <c r="C17" i="6"/>
  <c r="C16" i="6"/>
  <c r="C15" i="6"/>
  <c r="C22" i="6"/>
  <c r="C21" i="6"/>
  <c r="C13" i="6"/>
  <c r="C5" i="6"/>
  <c r="A4" i="4" l="1" a="1"/>
  <c r="H3" i="10"/>
  <c r="H2" i="10"/>
  <c r="E4" i="25"/>
  <c r="C5" i="29"/>
  <c r="C6" i="29"/>
  <c r="C7" i="29"/>
  <c r="C8" i="29"/>
  <c r="C4" i="29"/>
  <c r="B8" i="29"/>
  <c r="B5" i="29"/>
  <c r="A4" i="4" l="1"/>
  <c r="B4" i="4" s="1"/>
  <c r="B5" i="4"/>
  <c r="B6" i="4"/>
  <c r="B7" i="4"/>
  <c r="P2" i="8"/>
  <c r="N2" i="8"/>
  <c r="D7" i="29"/>
  <c r="C9" i="25"/>
  <c r="D8" i="25" s="1"/>
  <c r="E8" i="25" s="1"/>
  <c r="N18" i="8"/>
  <c r="D5" i="29" l="1"/>
  <c r="D6" i="29"/>
  <c r="D7" i="25"/>
  <c r="E7" i="25"/>
  <c r="D4" i="25"/>
  <c r="D5" i="25"/>
  <c r="E5" i="25" s="1"/>
  <c r="D6" i="25"/>
  <c r="E6" i="25" s="1"/>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2" i="8"/>
  <c r="N3" i="8"/>
  <c r="N4" i="8"/>
  <c r="N5" i="8"/>
  <c r="N6" i="8"/>
  <c r="N7" i="8"/>
  <c r="N8" i="8"/>
  <c r="N9" i="8"/>
  <c r="N10" i="8"/>
  <c r="N11" i="8"/>
  <c r="N12" i="8"/>
  <c r="N13" i="8"/>
  <c r="N14" i="8"/>
  <c r="N15" i="8"/>
  <c r="N16" i="8"/>
  <c r="N17"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D8" i="2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94FC93-8719-4C36-A83C-8A287CD05BB8}" name="Query - Campaign Metadata" description="Connection to the 'Campaign Metadata' query in the workbook." type="100" refreshedVersion="8" minRefreshableVersion="5">
    <extLst>
      <ext xmlns:x15="http://schemas.microsoft.com/office/spreadsheetml/2010/11/main" uri="{DE250136-89BD-433C-8126-D09CA5730AF9}">
        <x15:connection id="72f89a58-44ee-4bad-91da-8422b93942dc">
          <x15:oledbPr connection="Provider=Microsoft.Mashup.OleDb.1;Data Source=$Workbook$;Location=&quot;Campaign Metadata&quot;;Extended Properties=&quot;&quot;">
            <x15:dbTables>
              <x15:dbTable name="Campaign Metadata"/>
            </x15:dbTables>
          </x15:oledbPr>
        </x15:connection>
      </ext>
    </extLst>
  </connection>
  <connection id="2" xr16:uid="{395F0289-B246-458E-9DAF-6529E18CE6AA}" name="Query - Engagement Summary" description="Connection to the 'Engagement Summary' query in the workbook." type="100" refreshedVersion="8" minRefreshableVersion="5">
    <extLst>
      <ext xmlns:x15="http://schemas.microsoft.com/office/spreadsheetml/2010/11/main" uri="{DE250136-89BD-433C-8126-D09CA5730AF9}">
        <x15:connection id="1c536a01-dcd1-4562-954f-9425216ddbfd">
          <x15:oledbPr connection="Provider=Microsoft.Mashup.OleDb.1;Data Source=$Workbook$;Location=&quot;Engagement Summary&quot;;Extended Properties=&quot;&quot;">
            <x15:dbTables>
              <x15:dbTable name="Engagement Summary"/>
            </x15:dbTables>
          </x15:oledbPr>
        </x15:connection>
      </ext>
    </extLst>
  </connection>
  <connection id="3" xr16:uid="{CE7842D6-96A0-46BF-89C2-47662D8A1EC2}" name="Query - Posts" description="Connection to the 'Posts' query in the workbook." type="100" refreshedVersion="8" minRefreshableVersion="5">
    <extLst>
      <ext xmlns:x15="http://schemas.microsoft.com/office/spreadsheetml/2010/11/main" uri="{DE250136-89BD-433C-8126-D09CA5730AF9}">
        <x15:connection id="b21fc072-5cfe-4d20-ba8f-ad6b864f24ff"/>
      </ext>
    </extLst>
  </connection>
  <connection id="4" xr16:uid="{CEEB3B7C-8DA5-4599-9CDC-26C0151330A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<sst xmlns="http://schemas.openxmlformats.org/spreadsheetml/2006/main" count="3563" uniqueCount="475">
  <si>
    <t>Row Labels</t>
  </si>
  <si>
    <t>#AppleDesign</t>
  </si>
  <si>
    <t>#AppleEarth</t>
  </si>
  <si>
    <t>#AppleEvent</t>
  </si>
  <si>
    <t>#AppleInnovation</t>
  </si>
  <si>
    <t>#AppleLifestyle</t>
  </si>
  <si>
    <t>#AppleMusic</t>
  </si>
  <si>
    <t>#AppleWatch</t>
  </si>
  <si>
    <t>#AppleWatchUltra2</t>
  </si>
  <si>
    <t>#Health</t>
  </si>
  <si>
    <t>#HealthTech</t>
  </si>
  <si>
    <t>#Innovation</t>
  </si>
  <si>
    <t>#iPadPro</t>
  </si>
  <si>
    <t>#iPhone16</t>
  </si>
  <si>
    <t>#iPhone16Launch</t>
  </si>
  <si>
    <t>#iPhonePhotography</t>
  </si>
  <si>
    <t>#MacBookAirM3</t>
  </si>
  <si>
    <t>#MacBookProM3</t>
  </si>
  <si>
    <t>#ShotOniPhone</t>
  </si>
  <si>
    <t>#Sustainability</t>
  </si>
  <si>
    <t>Grand Total</t>
  </si>
  <si>
    <t>Average of Clicks</t>
  </si>
  <si>
    <t>Sum of Shares</t>
  </si>
  <si>
    <t>Sum of Comments</t>
  </si>
  <si>
    <t>Sum of Likes</t>
  </si>
  <si>
    <t>Carousel</t>
  </si>
  <si>
    <t>Image</t>
  </si>
  <si>
    <t>Tweet</t>
  </si>
  <si>
    <t>Video</t>
  </si>
  <si>
    <t>Instagram</t>
  </si>
  <si>
    <t>LinkedIn</t>
  </si>
  <si>
    <t>Twitter</t>
  </si>
  <si>
    <t>YouTube</t>
  </si>
  <si>
    <t>A121</t>
  </si>
  <si>
    <t>A123</t>
  </si>
  <si>
    <t>A127</t>
  </si>
  <si>
    <t>A13</t>
  </si>
  <si>
    <t>A185</t>
  </si>
  <si>
    <t>A201</t>
  </si>
  <si>
    <t>A226</t>
  </si>
  <si>
    <t>A231</t>
  </si>
  <si>
    <t>A287</t>
  </si>
  <si>
    <t>A82</t>
  </si>
  <si>
    <t>Average of Engagement Rate</t>
  </si>
  <si>
    <t>Sum of Impressions</t>
  </si>
  <si>
    <t>Sum of Engagement_Rate</t>
  </si>
  <si>
    <t>PostID</t>
  </si>
  <si>
    <t>Platform</t>
  </si>
  <si>
    <t>Date</t>
  </si>
  <si>
    <t>ContentType</t>
  </si>
  <si>
    <t>Hashtags</t>
  </si>
  <si>
    <t>Likes</t>
  </si>
  <si>
    <t>Shares</t>
  </si>
  <si>
    <t>Comments</t>
  </si>
  <si>
    <t>Clicks</t>
  </si>
  <si>
    <t>Reach</t>
  </si>
  <si>
    <t>Impressions</t>
  </si>
  <si>
    <t>Campaign</t>
  </si>
  <si>
    <t>Engagement Rate</t>
  </si>
  <si>
    <t>Apple Watch Ultra 2 Launch</t>
  </si>
  <si>
    <t>Sustainability Awareness Drive</t>
  </si>
  <si>
    <t>A254</t>
  </si>
  <si>
    <t>A105</t>
  </si>
  <si>
    <t>iPhone 16 Launch</t>
  </si>
  <si>
    <t>A46</t>
  </si>
  <si>
    <t>MacBook Air M3 Campaign</t>
  </si>
  <si>
    <t>A74</t>
  </si>
  <si>
    <t>A42</t>
  </si>
  <si>
    <t>A246</t>
  </si>
  <si>
    <t>A93</t>
  </si>
  <si>
    <t>A300</t>
  </si>
  <si>
    <t>Apple Event September 2025</t>
  </si>
  <si>
    <t>A129</t>
  </si>
  <si>
    <t>A47</t>
  </si>
  <si>
    <t>A148</t>
  </si>
  <si>
    <t>A139</t>
  </si>
  <si>
    <t>A23</t>
  </si>
  <si>
    <t>A276</t>
  </si>
  <si>
    <t>A62</t>
  </si>
  <si>
    <t>A77</t>
  </si>
  <si>
    <t>A248</t>
  </si>
  <si>
    <t>A184</t>
  </si>
  <si>
    <t>A147</t>
  </si>
  <si>
    <t>A72</t>
  </si>
  <si>
    <t>A265</t>
  </si>
  <si>
    <t>A53</t>
  </si>
  <si>
    <t>A135</t>
  </si>
  <si>
    <t>A205</t>
  </si>
  <si>
    <t>A24</t>
  </si>
  <si>
    <t>A131</t>
  </si>
  <si>
    <t>A107</t>
  </si>
  <si>
    <t>A95</t>
  </si>
  <si>
    <t>A27</t>
  </si>
  <si>
    <t>A195</t>
  </si>
  <si>
    <t>A71</t>
  </si>
  <si>
    <t>A19</t>
  </si>
  <si>
    <t>A235</t>
  </si>
  <si>
    <t>A282</t>
  </si>
  <si>
    <t>A33</t>
  </si>
  <si>
    <t>A198</t>
  </si>
  <si>
    <t>A243</t>
  </si>
  <si>
    <t>A166</t>
  </si>
  <si>
    <t>A10</t>
  </si>
  <si>
    <t>A35</t>
  </si>
  <si>
    <t>A238</t>
  </si>
  <si>
    <t>A56</t>
  </si>
  <si>
    <t>A266</t>
  </si>
  <si>
    <t>A179</t>
  </si>
  <si>
    <t>A86</t>
  </si>
  <si>
    <t>A57</t>
  </si>
  <si>
    <t>A137</t>
  </si>
  <si>
    <t>A213</t>
  </si>
  <si>
    <t>A117</t>
  </si>
  <si>
    <t>A175</t>
  </si>
  <si>
    <t>A267</t>
  </si>
  <si>
    <t>A11</t>
  </si>
  <si>
    <t>A17</t>
  </si>
  <si>
    <t>A252</t>
  </si>
  <si>
    <t>A209</t>
  </si>
  <si>
    <t>A257</t>
  </si>
  <si>
    <t>A279</t>
  </si>
  <si>
    <t>A154</t>
  </si>
  <si>
    <t>A210</t>
  </si>
  <si>
    <t>A81</t>
  </si>
  <si>
    <t>A32</t>
  </si>
  <si>
    <t>A87</t>
  </si>
  <si>
    <t>A49</t>
  </si>
  <si>
    <t>A120</t>
  </si>
  <si>
    <t>A293</t>
  </si>
  <si>
    <t>A94</t>
  </si>
  <si>
    <t>A31</t>
  </si>
  <si>
    <t>A298</t>
  </si>
  <si>
    <t>A90</t>
  </si>
  <si>
    <t>A70</t>
  </si>
  <si>
    <t>A206</t>
  </si>
  <si>
    <t>A141</t>
  </si>
  <si>
    <t>A281</t>
  </si>
  <si>
    <t>A173</t>
  </si>
  <si>
    <t>A245</t>
  </si>
  <si>
    <t>A4</t>
  </si>
  <si>
    <t>A167</t>
  </si>
  <si>
    <t>A80</t>
  </si>
  <si>
    <t>A76</t>
  </si>
  <si>
    <t>A61</t>
  </si>
  <si>
    <t>A119</t>
  </si>
  <si>
    <t>A187</t>
  </si>
  <si>
    <t>A260</t>
  </si>
  <si>
    <t>A126</t>
  </si>
  <si>
    <t>A160</t>
  </si>
  <si>
    <t>A75</t>
  </si>
  <si>
    <t>A132</t>
  </si>
  <si>
    <t>A203</t>
  </si>
  <si>
    <t>A144</t>
  </si>
  <si>
    <t>A153</t>
  </si>
  <si>
    <t>A237</t>
  </si>
  <si>
    <t>A249</t>
  </si>
  <si>
    <t>A55</t>
  </si>
  <si>
    <t>A227</t>
  </si>
  <si>
    <t>A101</t>
  </si>
  <si>
    <t>A277</t>
  </si>
  <si>
    <t>A116</t>
  </si>
  <si>
    <t>A177</t>
  </si>
  <si>
    <t>A48</t>
  </si>
  <si>
    <t>A69</t>
  </si>
  <si>
    <t>A269</t>
  </si>
  <si>
    <t>A171</t>
  </si>
  <si>
    <t>A142</t>
  </si>
  <si>
    <t>A182</t>
  </si>
  <si>
    <t>A110</t>
  </si>
  <si>
    <t>A223</t>
  </si>
  <si>
    <t>A220</t>
  </si>
  <si>
    <t>A216</t>
  </si>
  <si>
    <t>A289</t>
  </si>
  <si>
    <t>A186</t>
  </si>
  <si>
    <t>A68</t>
  </si>
  <si>
    <t>A285</t>
  </si>
  <si>
    <t>A155</t>
  </si>
  <si>
    <t>A60</t>
  </si>
  <si>
    <t>A194</t>
  </si>
  <si>
    <t>A36</t>
  </si>
  <si>
    <t>A157</t>
  </si>
  <si>
    <t>A234</t>
  </si>
  <si>
    <t>A143</t>
  </si>
  <si>
    <t>A3</t>
  </si>
  <si>
    <t>A258</t>
  </si>
  <si>
    <t>A183</t>
  </si>
  <si>
    <t>A268</t>
  </si>
  <si>
    <t>A122</t>
  </si>
  <si>
    <t>A118</t>
  </si>
  <si>
    <t>A64</t>
  </si>
  <si>
    <t>A255</t>
  </si>
  <si>
    <t>A229</t>
  </si>
  <si>
    <t>A241</t>
  </si>
  <si>
    <t>A111</t>
  </si>
  <si>
    <t>A54</t>
  </si>
  <si>
    <t>A218</t>
  </si>
  <si>
    <t>A85</t>
  </si>
  <si>
    <t>A270</t>
  </si>
  <si>
    <t>A133</t>
  </si>
  <si>
    <t>A96</t>
  </si>
  <si>
    <t>A197</t>
  </si>
  <si>
    <t>A261</t>
  </si>
  <si>
    <t>A65</t>
  </si>
  <si>
    <t>A130</t>
  </si>
  <si>
    <t>A58</t>
  </si>
  <si>
    <t>A145</t>
  </si>
  <si>
    <t>A283</t>
  </si>
  <si>
    <t>A38</t>
  </si>
  <si>
    <t>A188</t>
  </si>
  <si>
    <t>A106</t>
  </si>
  <si>
    <t>A151</t>
  </si>
  <si>
    <t>A83</t>
  </si>
  <si>
    <t>A150</t>
  </si>
  <si>
    <t>A190</t>
  </si>
  <si>
    <t>A44</t>
  </si>
  <si>
    <t>A158</t>
  </si>
  <si>
    <t>A189</t>
  </si>
  <si>
    <t>A50</t>
  </si>
  <si>
    <t>A104</t>
  </si>
  <si>
    <t>A232</t>
  </si>
  <si>
    <t>A67</t>
  </si>
  <si>
    <t>A7</t>
  </si>
  <si>
    <t>A294</t>
  </si>
  <si>
    <t>A84</t>
  </si>
  <si>
    <t>A138</t>
  </si>
  <si>
    <t>A66</t>
  </si>
  <si>
    <t>A128</t>
  </si>
  <si>
    <t>A262</t>
  </si>
  <si>
    <t>A214</t>
  </si>
  <si>
    <t>A272</t>
  </si>
  <si>
    <t>A114</t>
  </si>
  <si>
    <t>A259</t>
  </si>
  <si>
    <t>A8</t>
  </si>
  <si>
    <t>A59</t>
  </si>
  <si>
    <t>A124</t>
  </si>
  <si>
    <t>A278</t>
  </si>
  <si>
    <t>A291</t>
  </si>
  <si>
    <t>A99</t>
  </si>
  <si>
    <t>A222</t>
  </si>
  <si>
    <t>A156</t>
  </si>
  <si>
    <t>A288</t>
  </si>
  <si>
    <t>A28</t>
  </si>
  <si>
    <t>A20</t>
  </si>
  <si>
    <t>A12</t>
  </si>
  <si>
    <t>A22</t>
  </si>
  <si>
    <t>A200</t>
  </si>
  <si>
    <t>A16</t>
  </si>
  <si>
    <t>A275</t>
  </si>
  <si>
    <t>A292</t>
  </si>
  <si>
    <t>A236</t>
  </si>
  <si>
    <t>A174</t>
  </si>
  <si>
    <t>A164</t>
  </si>
  <si>
    <t>A140</t>
  </si>
  <si>
    <t>A51</t>
  </si>
  <si>
    <t>A170</t>
  </si>
  <si>
    <t>A163</t>
  </si>
  <si>
    <t>A97</t>
  </si>
  <si>
    <t>A230</t>
  </si>
  <si>
    <t>A125</t>
  </si>
  <si>
    <t>A221</t>
  </si>
  <si>
    <t>A264</t>
  </si>
  <si>
    <t>A88</t>
  </si>
  <si>
    <t>A168</t>
  </si>
  <si>
    <t>A1</t>
  </si>
  <si>
    <t>A271</t>
  </si>
  <si>
    <t>A109</t>
  </si>
  <si>
    <t>A228</t>
  </si>
  <si>
    <t>A63</t>
  </si>
  <si>
    <t>A250</t>
  </si>
  <si>
    <t>A98</t>
  </si>
  <si>
    <t>A92</t>
  </si>
  <si>
    <t>A225</t>
  </si>
  <si>
    <t>A146</t>
  </si>
  <si>
    <t>A284</t>
  </si>
  <si>
    <t>A296</t>
  </si>
  <si>
    <t>A208</t>
  </si>
  <si>
    <t>A263</t>
  </si>
  <si>
    <t>A26</t>
  </si>
  <si>
    <t>A297</t>
  </si>
  <si>
    <t>A212</t>
  </si>
  <si>
    <t>A172</t>
  </si>
  <si>
    <t>A112</t>
  </si>
  <si>
    <t>A233</t>
  </si>
  <si>
    <t>A18</t>
  </si>
  <si>
    <t>A37</t>
  </si>
  <si>
    <t>A162</t>
  </si>
  <si>
    <t>A149</t>
  </si>
  <si>
    <t>A295</t>
  </si>
  <si>
    <t>A169</t>
  </si>
  <si>
    <t>A30</t>
  </si>
  <si>
    <t>A9</t>
  </si>
  <si>
    <t>A219</t>
  </si>
  <si>
    <t>A207</t>
  </si>
  <si>
    <t>A274</t>
  </si>
  <si>
    <t>A273</t>
  </si>
  <si>
    <t>A247</t>
  </si>
  <si>
    <t>A193</t>
  </si>
  <si>
    <t>A78</t>
  </si>
  <si>
    <t>A196</t>
  </si>
  <si>
    <t>A136</t>
  </si>
  <si>
    <t>A5</t>
  </si>
  <si>
    <t>A21</t>
  </si>
  <si>
    <t>A244</t>
  </si>
  <si>
    <t>A6</t>
  </si>
  <si>
    <t>A286</t>
  </si>
  <si>
    <t>A251</t>
  </si>
  <si>
    <t>A152</t>
  </si>
  <si>
    <t>A91</t>
  </si>
  <si>
    <t>A202</t>
  </si>
  <si>
    <t>A73</t>
  </si>
  <si>
    <t>A40</t>
  </si>
  <si>
    <t>A108</t>
  </si>
  <si>
    <t>A242</t>
  </si>
  <si>
    <t>A224</t>
  </si>
  <si>
    <t>A39</t>
  </si>
  <si>
    <t>A100</t>
  </si>
  <si>
    <t>A217</t>
  </si>
  <si>
    <t>A204</t>
  </si>
  <si>
    <t>A161</t>
  </si>
  <si>
    <t>A159</t>
  </si>
  <si>
    <t>A52</t>
  </si>
  <si>
    <t>A199</t>
  </si>
  <si>
    <t>A180</t>
  </si>
  <si>
    <t>A240</t>
  </si>
  <si>
    <t>A290</t>
  </si>
  <si>
    <t>A165</t>
  </si>
  <si>
    <t>A103</t>
  </si>
  <si>
    <t>A253</t>
  </si>
  <si>
    <t>A2</t>
  </si>
  <si>
    <t>A29</t>
  </si>
  <si>
    <t>A34</t>
  </si>
  <si>
    <t>A25</t>
  </si>
  <si>
    <t>A215</t>
  </si>
  <si>
    <t>A176</t>
  </si>
  <si>
    <t>A191</t>
  </si>
  <si>
    <t>A211</t>
  </si>
  <si>
    <t>A239</t>
  </si>
  <si>
    <t>A89</t>
  </si>
  <si>
    <t>A192</t>
  </si>
  <si>
    <t>A115</t>
  </si>
  <si>
    <t>A299</t>
  </si>
  <si>
    <t>A45</t>
  </si>
  <si>
    <t>A15</t>
  </si>
  <si>
    <t>A102</t>
  </si>
  <si>
    <t>A113</t>
  </si>
  <si>
    <t>A134</t>
  </si>
  <si>
    <t>A256</t>
  </si>
  <si>
    <t>A79</t>
  </si>
  <si>
    <t>A14</t>
  </si>
  <si>
    <t>A43</t>
  </si>
  <si>
    <t>A280</t>
  </si>
  <si>
    <t>A178</t>
  </si>
  <si>
    <t>A181</t>
  </si>
  <si>
    <t>A41</t>
  </si>
  <si>
    <t>Week_Start_Date</t>
  </si>
  <si>
    <t>New_Followers</t>
  </si>
  <si>
    <t>Unfollows</t>
  </si>
  <si>
    <t>Total_Followers</t>
  </si>
  <si>
    <t>Engagement_Rate</t>
  </si>
  <si>
    <t>Ad_Spend</t>
  </si>
  <si>
    <t>Campaign_Name</t>
  </si>
  <si>
    <t>Start_Date</t>
  </si>
  <si>
    <t>End_Date</t>
  </si>
  <si>
    <t>Objective</t>
  </si>
  <si>
    <t>Engagement_Uplift</t>
  </si>
  <si>
    <t>Product Launch</t>
  </si>
  <si>
    <t>Product Promotion</t>
  </si>
  <si>
    <t>Health &amp; Fitness Awareness</t>
  </si>
  <si>
    <t>Sustainability Branding</t>
  </si>
  <si>
    <t>Brand Engagement</t>
  </si>
  <si>
    <t>Sum of Growth Rate</t>
  </si>
  <si>
    <t>Sum of Ad_Spend</t>
  </si>
  <si>
    <t>Column Labels</t>
  </si>
  <si>
    <t>Count of Hashtags</t>
  </si>
  <si>
    <t>Sum of Clicks</t>
  </si>
  <si>
    <t>Average of Impressions</t>
  </si>
  <si>
    <t>Average of Likes</t>
  </si>
  <si>
    <t>Which campaign had the highest ROI (engagement vs. spend)?</t>
  </si>
  <si>
    <t>Which campaign drove the strongest follower growth?</t>
  </si>
  <si>
    <t>Follower Growth</t>
  </si>
  <si>
    <t>ROI</t>
  </si>
  <si>
    <t>Visualize weekly follower growth per platform (line chart)</t>
  </si>
  <si>
    <t>Insights:</t>
  </si>
  <si>
    <t>Campaign Start Date</t>
  </si>
  <si>
    <t>Campaign End Date</t>
  </si>
  <si>
    <t>Timeline</t>
  </si>
  <si>
    <t xml:space="preserve">Calculate average engagement rate per platform: 
Engagement Rate = (Likes + Shares + Comments) / Impressions  </t>
  </si>
  <si>
    <t>Identify Top 10 Apple posts with highest engagement.</t>
  </si>
  <si>
    <t xml:space="preserve">Create a pivot table showing: Total Likes, Shares, Comments by Content Type &amp; Platform </t>
  </si>
  <si>
    <t xml:space="preserve"> Create a pivot table showing: Average Clicks per post by Hashtag</t>
  </si>
  <si>
    <t xml:space="preserve">Highlight top-performing hashtags such as #ShotOniPhone, #AppleEvent, #iPhone16Launch, #MacBookAir. </t>
  </si>
  <si>
    <t xml:space="preserve">Identify the platform with highest engagement </t>
  </si>
  <si>
    <t>Compare follower growth rates across platforms</t>
  </si>
  <si>
    <t>Visualize Engagement vs. Ad Spend per platform.</t>
  </si>
  <si>
    <t>Identify the most frequently used Apple hashtags.</t>
  </si>
  <si>
    <t>Compare average performance of posts containing each hashtag.</t>
  </si>
  <si>
    <t>Compare content performance:  Videos (launch events, ads, product demos)  Images (product close-ups, lifestyle shots)  Carousels (feature highlights, comparisons)</t>
  </si>
  <si>
    <t>Recommend which content type performs best on each platform</t>
  </si>
  <si>
    <t>Calculate: Total &amp; Average Impressions, Likes, Clicks per Campaign.</t>
  </si>
  <si>
    <t>Calculate: Measure engagement uplift during vs. before campaigns</t>
  </si>
  <si>
    <t>03-06-2024 - 09-06-2024</t>
  </si>
  <si>
    <t>10-06-2024 - 16-06-2024</t>
  </si>
  <si>
    <t>17-06-2024 - 23-06-2024</t>
  </si>
  <si>
    <t>24-06-2024 - 30-06-2024</t>
  </si>
  <si>
    <t>01-07-2024 - 07-07-2024</t>
  </si>
  <si>
    <t>08-07-2024 - 14-07-2024</t>
  </si>
  <si>
    <t>15-07-2024 - 21-07-2024</t>
  </si>
  <si>
    <t>22-07-2024 - 28-07-2024</t>
  </si>
  <si>
    <t>29-07-2024 - 04-08-2024</t>
  </si>
  <si>
    <t>05-08-2024 - 11-08-2024</t>
  </si>
  <si>
    <t>12-08-2024 - 18-08-2024</t>
  </si>
  <si>
    <t>19-08-2024 - 25-08-2024</t>
  </si>
  <si>
    <t>26-08-2024 - 01-09-2024</t>
  </si>
  <si>
    <t>02-09-2024 - 08-09-2024</t>
  </si>
  <si>
    <t>09-09-2024 - 15-09-2024</t>
  </si>
  <si>
    <t>16-09-2024 - 22-09-2024</t>
  </si>
  <si>
    <t>23-09-2024 - 29-09-2024</t>
  </si>
  <si>
    <t>30-09-2024 - 06-10-2024</t>
  </si>
  <si>
    <t>07-10-2024 - 13-10-2024</t>
  </si>
  <si>
    <t>14-10-2024 - 20-10-2024</t>
  </si>
  <si>
    <t>21-10-2024 - 27-10-2024</t>
  </si>
  <si>
    <t>28-10-2024 - 03-11-2024</t>
  </si>
  <si>
    <t>04-11-2024 - 10-11-2024</t>
  </si>
  <si>
    <t>11-11-2024 - 17-11-2024</t>
  </si>
  <si>
    <t>18-11-2024 - 24-11-2024</t>
  </si>
  <si>
    <t>25-11-2024 - 01-12-2024</t>
  </si>
  <si>
    <t>02-12-2024 - 08-12-2024</t>
  </si>
  <si>
    <t>09-12-2024 - 15-12-2024</t>
  </si>
  <si>
    <t>16-12-2024 - 22-12-2024</t>
  </si>
  <si>
    <t>23-12-2024 - 29-12-2024</t>
  </si>
  <si>
    <t>30-12-2024 - 05-01-2025</t>
  </si>
  <si>
    <t>06-01-2025 - 12-01-2025</t>
  </si>
  <si>
    <t>13-01-2025 - 19-01-2025</t>
  </si>
  <si>
    <t>20-01-2025 - 26-01-2025</t>
  </si>
  <si>
    <t>27-01-2025 - 02-02-2025</t>
  </si>
  <si>
    <t>03-02-2025 - 09-02-2025</t>
  </si>
  <si>
    <t>10-02-2025 - 16-02-2025</t>
  </si>
  <si>
    <t>17-02-2025 - 23-02-2025</t>
  </si>
  <si>
    <t>24-02-2025 - 02-03-2025</t>
  </si>
  <si>
    <t>03-03-2025 - 09-03-2025</t>
  </si>
  <si>
    <t>10-03-2025 - 16-03-2025</t>
  </si>
  <si>
    <t>17-03-2025 - 23-03-2025</t>
  </si>
  <si>
    <t>24-03-2025 - 30-03-2025</t>
  </si>
  <si>
    <t>31-03-2025 - 06-04-2025</t>
  </si>
  <si>
    <t>07-04-2025 - 13-04-2025</t>
  </si>
  <si>
    <t>14-04-2025 - 20-04-2025</t>
  </si>
  <si>
    <t>21-04-2025 - 27-04-2025</t>
  </si>
  <si>
    <t>28-04-2025 - 04-05-2025</t>
  </si>
  <si>
    <t>05-05-2025 - 11-05-2025</t>
  </si>
  <si>
    <t>12-05-2025 - 13-05-2025</t>
  </si>
  <si>
    <t>Identify the peak week of follower gain.</t>
  </si>
  <si>
    <t>Follower Gain</t>
  </si>
  <si>
    <t>Use moving averages to smooth growth trends.</t>
  </si>
  <si>
    <t>Ad Spend</t>
  </si>
  <si>
    <t>Correlate ad spend vs. follower growth using scatter plots.</t>
  </si>
  <si>
    <t>Week</t>
  </si>
  <si>
    <t>Total Followers gained</t>
  </si>
  <si>
    <t>Campaign Name</t>
  </si>
  <si>
    <t>Engagement Uplift</t>
  </si>
  <si>
    <t>Total</t>
  </si>
  <si>
    <t>Ad Spend (%)</t>
  </si>
  <si>
    <t>From the above bar chart, we can interpret the following:</t>
  </si>
  <si>
    <t>The best performing content</t>
  </si>
  <si>
    <t>Youtube</t>
  </si>
  <si>
    <t>The data in this sheet is used for task 6.4</t>
  </si>
  <si>
    <t>Advise Apple’s team: Should they focus on YouTube + Instagram (videos + visuals) or continue a multi-platform strategy?</t>
  </si>
  <si>
    <t>According to the above column chart, the platforms seem to have columns with almost the same height which means there are no sudden drops in the values. Here the engagement rate and ad spend are in % format so that the values are comparable. The values in the percentage don't display sudden drop or spike which means there is no huge growth or decline in the ad spend or engagement rate. Twitter has highest performance followed by Instagram+Linkedin and YouTube in the last place. YouTube has a  22.4% of engagement from only 18.6% of spend. LinkedIn doesn't seem efficient as it generated only 24.1% of engagement despite 28.7% of ad spend  I would advise Apple team to continue with their multi-platform strategy. They gain a good engagement across all the platforms. If they focus only on two platforms then could lose their audience on the other platforms. If the other platforms didn't get a good engagement despite investing in, then we could have thought about dropping the platforms. That's not the case here, all platforms have good engagement. Though it is advisable to invest more in Youtube and Twitter. Linkedin and Instagram must focus on their content and engagement activities to improve their engagement rate.</t>
  </si>
  <si>
    <t>Average of Engagement_Rate</t>
  </si>
  <si>
    <t>Engagement Rate Before the Campaign</t>
  </si>
  <si>
    <t>Engagement Rate During the Campaign</t>
  </si>
  <si>
    <t>https://docs.google.com/document/d/1zigBcXBCrHO6YJnje9rFk9xCIVDu1WS06QtFDMOTovQ/edit?usp=sharing</t>
  </si>
  <si>
    <t>Active Days</t>
  </si>
  <si>
    <t>Link to the Video:</t>
  </si>
  <si>
    <t>https://drive.google.com/drive/folders/15EqoIXT8ulS4uxQIqTELhvASXFgDvkKo?usp=drive_link</t>
  </si>
  <si>
    <t>Link to the Approach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</si>
</sst>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7"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1"/>
      <color theme="1"/>
      <name val="Calibri"/>
      <family val="2"/>
      <scheme val="minor"/>
    </font>
    <font>
      <u/>
      <sz val="11"/>
      <color theme="1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5" fillId="0" borderId="0" applyFont="0" applyFill="0" applyBorder="0" applyAlignment="0" applyProtection="0"/>
    <xf numFmtId="0" fontId="6" fillId="0" borderId="0" applyNumberFormat="0" applyFill="0" applyBorder="0" applyAlignment="0" applyProtection="0"/>
  </cellStyleXfs>
  <cellXfs count="7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4" fontId="0" fillId="0" borderId="0" xfId="0" applyNumberFormat="1"/>
    <xf numFmtId="164" fontId="0" fillId="0" borderId="0" xfId="0" applyNumberFormat="1"/>
    <xf numFmtId="0" fontId="1" fillId="0" borderId="0" xfId="0" applyFont="1"/>
    <xf numFmtId="0" fontId="0" fillId="2" borderId="0" xfId="0" applyFill="1" applyAlignment="1">
      <alignment horizontal="left"/>
    </xf>
    <xf numFmtId="0" fontId="1" fillId="0" borderId="1" xfId="0" applyFont="1" applyBorder="1"/>
    <xf numFmtId="165" fontId="0" fillId="0" borderId="0" xfId="0" applyNumberFormat="1"/>
    <xf numFmtId="166" fontId="0" fillId="0" borderId="0" xfId="0" applyNumberFormat="1"/>
    <xf numFmtId="0" fontId="2" fillId="0" borderId="0" xfId="0" applyFont="1"/>
    <xf numFmtId="0" fontId="3" fillId="0" borderId="0" xfId="0" applyFont="1"/>
    <xf numFmtId="0" fontId="3" fillId="6" borderId="0" xfId="0" applyFont="1" applyFill="1" applyAlignment="1">
      <alignment horizontal="center"/>
    </xf>
    <xf numFmtId="0" fontId="1" fillId="0" borderId="0" xfId="0" applyFont="1" applyAlignment="1">
      <alignment wrapText="1"/>
    </xf>
    <xf numFmtId="0" fontId="3" fillId="6" borderId="0" xfId="0" applyFont="1" applyFill="1"/>
    <xf numFmtId="0" fontId="0" fillId="0" borderId="1" xfId="0" applyBorder="1" applyAlignment="1">
      <alignment horizontal="left"/>
    </xf>
    <xf numFmtId="0" fontId="0" fillId="0" borderId="1" xfId="0" applyBorder="1"/>
    <xf numFmtId="0" fontId="1" fillId="7" borderId="0" xfId="0" applyFont="1" applyFill="1"/>
    <xf numFmtId="0" fontId="3" fillId="0" borderId="0" xfId="0" applyFont="1" applyAlignment="1">
      <alignment horizontal="center"/>
    </xf>
    <xf numFmtId="49" fontId="0" fillId="0" borderId="0" xfId="0" applyNumberFormat="1"/>
    <xf numFmtId="1" fontId="0" fillId="0" borderId="0" xfId="0" applyNumberFormat="1"/>
    <xf numFmtId="9" fontId="0" fillId="0" borderId="0" xfId="1" applyFont="1"/>
    <xf numFmtId="0" fontId="0" fillId="0" borderId="5" xfId="0" applyBorder="1"/>
    <xf numFmtId="9" fontId="0" fillId="0" borderId="0" xfId="1" applyFont="1" applyBorder="1"/>
    <xf numFmtId="2" fontId="0" fillId="0" borderId="6" xfId="0" applyNumberFormat="1" applyBorder="1"/>
    <xf numFmtId="0" fontId="0" fillId="0" borderId="7" xfId="0" applyBorder="1"/>
    <xf numFmtId="0" fontId="0" fillId="0" borderId="8" xfId="0" applyBorder="1" applyAlignment="1">
      <alignment horizontal="right"/>
    </xf>
    <xf numFmtId="1" fontId="0" fillId="0" borderId="8" xfId="0" applyNumberFormat="1" applyBorder="1"/>
    <xf numFmtId="9" fontId="0" fillId="0" borderId="8" xfId="1" applyFont="1" applyBorder="1"/>
    <xf numFmtId="0" fontId="0" fillId="0" borderId="9" xfId="0" applyBorder="1"/>
    <xf numFmtId="2" fontId="0" fillId="0" borderId="9" xfId="0" applyNumberFormat="1" applyBorder="1"/>
    <xf numFmtId="0" fontId="1" fillId="3" borderId="2" xfId="0" applyFont="1" applyFill="1" applyBorder="1"/>
    <xf numFmtId="0" fontId="1" fillId="3" borderId="3" xfId="0" applyFont="1" applyFill="1" applyBorder="1"/>
    <xf numFmtId="0" fontId="1" fillId="3" borderId="4" xfId="0" applyFont="1" applyFill="1" applyBorder="1"/>
    <xf numFmtId="0" fontId="0" fillId="0" borderId="2" xfId="0" applyBorder="1"/>
    <xf numFmtId="2" fontId="0" fillId="0" borderId="3" xfId="0" applyNumberFormat="1" applyBorder="1"/>
    <xf numFmtId="1" fontId="0" fillId="0" borderId="3" xfId="0" applyNumberFormat="1" applyBorder="1"/>
    <xf numFmtId="9" fontId="0" fillId="0" borderId="3" xfId="1" applyFont="1" applyBorder="1"/>
    <xf numFmtId="2" fontId="0" fillId="0" borderId="4" xfId="0" applyNumberFormat="1" applyBorder="1"/>
    <xf numFmtId="2" fontId="0" fillId="0" borderId="8" xfId="0" applyNumberFormat="1" applyBorder="1"/>
    <xf numFmtId="0" fontId="3" fillId="0" borderId="5" xfId="0" applyFont="1" applyBorder="1"/>
    <xf numFmtId="0" fontId="3" fillId="0" borderId="7" xfId="0" applyFont="1" applyBorder="1"/>
    <xf numFmtId="0" fontId="2" fillId="3" borderId="10" xfId="0" applyFont="1" applyFill="1" applyBorder="1"/>
    <xf numFmtId="0" fontId="0" fillId="8" borderId="0" xfId="0" applyFill="1" applyAlignment="1">
      <alignment horizontal="left"/>
    </xf>
    <xf numFmtId="0" fontId="0" fillId="8" borderId="0" xfId="0" applyFill="1"/>
    <xf numFmtId="0" fontId="1" fillId="9" borderId="0" xfId="0" applyFont="1" applyFill="1"/>
    <xf numFmtId="10" fontId="0" fillId="0" borderId="0" xfId="0" applyNumberFormat="1"/>
    <xf numFmtId="0" fontId="0" fillId="2" borderId="0" xfId="0" applyFill="1"/>
    <xf numFmtId="2" fontId="0" fillId="0" borderId="1" xfId="0" applyNumberFormat="1" applyBorder="1"/>
    <xf numFmtId="0" fontId="0" fillId="3" borderId="1" xfId="0" applyFill="1" applyBorder="1" applyAlignment="1">
      <alignment horizontal="left"/>
    </xf>
    <xf numFmtId="0" fontId="0" fillId="3" borderId="1" xfId="0" applyFill="1" applyBorder="1"/>
    <xf numFmtId="166" fontId="0" fillId="0" borderId="1" xfId="0" applyNumberFormat="1" applyBorder="1"/>
    <xf numFmtId="0" fontId="1" fillId="3" borderId="1" xfId="0" applyFont="1" applyFill="1" applyBorder="1"/>
    <xf numFmtId="0" fontId="1" fillId="3" borderId="1" xfId="0" applyFont="1" applyFill="1" applyBorder="1" applyAlignment="1">
      <alignment horizontal="left"/>
    </xf>
    <xf numFmtId="0" fontId="2" fillId="5" borderId="0" xfId="0" applyFont="1" applyFill="1" applyAlignment="1">
      <alignment horizontal="center" wrapText="1"/>
    </xf>
    <xf numFmtId="0" fontId="2" fillId="5" borderId="0" xfId="0" applyFont="1" applyFill="1" applyAlignment="1">
      <alignment horizontal="center"/>
    </xf>
    <xf numFmtId="0" fontId="1" fillId="5" borderId="0" xfId="0" applyFont="1" applyFill="1"/>
    <xf numFmtId="0" fontId="0" fillId="0" borderId="0" xfId="0" applyAlignment="1">
      <alignment wrapText="1"/>
    </xf>
    <xf numFmtId="0" fontId="4" fillId="5" borderId="0" xfId="0" applyFont="1" applyFill="1" applyAlignment="1">
      <alignment horizontal="center"/>
    </xf>
    <xf numFmtId="0" fontId="2" fillId="5" borderId="0" xfId="0" applyFont="1" applyFill="1"/>
    <xf numFmtId="0" fontId="3" fillId="0" borderId="8" xfId="0" applyFont="1" applyBorder="1" applyAlignment="1">
      <alignment horizontal="center"/>
    </xf>
    <xf numFmtId="0" fontId="3" fillId="0" borderId="9" xfId="0" applyFont="1" applyBorder="1" applyAlignment="1">
      <alignment horizontal="center"/>
    </xf>
    <xf numFmtId="0" fontId="3" fillId="0" borderId="0" xfId="0" applyFont="1"/>
    <xf numFmtId="0" fontId="2" fillId="3" borderId="11" xfId="0" applyFont="1" applyFill="1" applyBorder="1"/>
    <xf numFmtId="0" fontId="2" fillId="3" borderId="12" xfId="0" applyFont="1" applyFill="1" applyBorder="1"/>
    <xf numFmtId="0" fontId="3" fillId="0" borderId="0" xfId="0" applyFont="1" applyAlignment="1">
      <alignment horizontal="center"/>
    </xf>
    <xf numFmtId="0" fontId="3" fillId="0" borderId="6" xfId="0" applyFont="1" applyBorder="1" applyAlignment="1">
      <alignment horizontal="center"/>
    </xf>
    <xf numFmtId="0" fontId="2" fillId="4" borderId="0" xfId="0" applyFont="1" applyFill="1" applyAlignment="1">
      <alignment horizontal="center"/>
    </xf>
    <xf numFmtId="0" fontId="2" fillId="4" borderId="0" xfId="0" applyFont="1" applyFill="1"/>
    <xf numFmtId="0" fontId="1" fillId="0" borderId="0" xfId="0" applyFont="1"/>
    <xf numFmtId="0" fontId="0" fillId="0" borderId="0" xfId="0"/>
    <xf numFmtId="0" fontId="6" fillId="0" borderId="0" xfId="2"/>
  </cellXfs>
  <cellStyles count="3">
    <cellStyle name="Hyperlink" xfId="2" builtinId="8"/>
    <cellStyle name="Normal" xfId="0" builtinId="0"/>
    <cellStyle name="Percent" xfId="1" builtinId="5"/>
  </cellStyles>
  <dxfs count="20">
    <dxf>
      <font>
        <color rgb="FF9C0006"/>
      </font>
      <fill>
        <patternFill>
          <bgColor rgb="FFFFC7CE"/>
        </patternFill>
      </fill>
    </dxf>
    <dxf>
      <font>
        <color rgb="FF9C0006"/>
      </font>
      <fill>
        <patternFill>
          <bgColor rgb="FFFFC7CE"/>
        </patternFill>
      </fill>
    </dxf>
    <dxf>
      <fill>
        <patternFill>
          <bgColor rgb="FFB17ED8"/>
        </patternFill>
      </fill>
    </dxf>
    <dxf>
      <font>
        <color rgb="FF9C0006"/>
      </font>
      <fill>
        <patternFill>
          <bgColor rgb="FFFFC7CE"/>
        </patternFill>
      </fill>
    </dxf>
    <dxf>
      <fill>
        <patternFill>
          <bgColor theme="7" tint="0.59999389629810485"/>
        </patternFill>
      </fill>
    </dxf>
    <dxf>
      <fill>
        <patternFill patternType="solid">
          <bgColor rgb="FF00B0F0"/>
        </patternFill>
      </fill>
    </dxf>
    <dxf>
      <fill>
        <patternFill patternType="solid">
          <bgColor rgb="FF00B0F0"/>
        </patternFill>
      </fill>
    </dxf>
    <dxf>
      <fill>
        <patternFill patternType="solid">
          <bgColor rgb="FFFFFF00"/>
        </patternFill>
      </fill>
    </dxf>
    <dxf>
      <numFmt numFmtId="165" formatCode="0.0000"/>
    </dxf>
    <dxf>
      <numFmt numFmtId="166" formatCode="0.000"/>
    </dxf>
    <dxf>
      <numFmt numFmtId="166" formatCode="0.000"/>
    </dxf>
    <dxf>
      <fill>
        <patternFill patternType="solid">
          <bgColor rgb="FFFFFF00"/>
        </patternFill>
      </fill>
    </dxf>
    <dxf>
      <numFmt numFmtId="14" formatCode="0.00%"/>
    </dxf>
    <dxf>
      <numFmt numFmtId="164" formatCode="0.0%"/>
    </dxf>
    <dxf>
      <numFmt numFmtId="164" formatCode="0.0%"/>
    </dxf>
    <dxf>
      <numFmt numFmtId="14" formatCode="0.00%"/>
    </dxf>
    <dxf>
      <numFmt numFmtId="2" formatCode="0.00"/>
    </dxf>
    <dxf>
      <numFmt numFmtId="2" formatCode="0.00"/>
    </dxf>
    <dxf>
      <numFmt numFmtId="166" formatCode="0.000"/>
    </dxf>
    <dxf>
      <numFmt numFmtId="167" formatCode="0.000000000"/>
    </dxf>
  </dxfs>
  <tableStyles count="0" defaultTableStyle="TableStyleMedium2" defaultPivotStyle="PivotStyleLight16"/>
  <colors>
    <mruColors>
      <color rgb="FFB17ED8"/>
      <color rgb="FFB686DA"/>
      <color rgb="FFBD92DE"/>
      <color rgb="FFE91F1F"/>
      <color rgb="FFC51313"/>
      <color rgb="FFEF71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pivotCacheDefinition" Target="pivotCache/pivotCacheDefinition10.xml"/><Relationship Id="rId42" Type="http://schemas.openxmlformats.org/officeDocument/2006/relationships/powerPivotData" Target="model/item.data"/><Relationship Id="rId47" Type="http://schemas.openxmlformats.org/officeDocument/2006/relationships/customXml" Target="../customXml/item4.xml"/><Relationship Id="rId50" Type="http://schemas.openxmlformats.org/officeDocument/2006/relationships/customXml" Target="../customXml/item7.xml"/><Relationship Id="rId55"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8.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connections" Target="connections.xml"/><Relationship Id="rId46" Type="http://schemas.openxmlformats.org/officeDocument/2006/relationships/customXml" Target="../customXml/item3.xml"/><Relationship Id="rId59" Type="http://schemas.openxmlformats.org/officeDocument/2006/relationships/customXml" Target="../customXml/item16.xml"/><Relationship Id="rId20" Type="http://schemas.openxmlformats.org/officeDocument/2006/relationships/worksheet" Target="worksheets/sheet20.xml"/><Relationship Id="rId41" Type="http://schemas.openxmlformats.org/officeDocument/2006/relationships/sheetMetadata" Target="metadata.xml"/><Relationship Id="rId54" Type="http://schemas.openxmlformats.org/officeDocument/2006/relationships/customXml" Target="../customXml/item11.xml"/><Relationship Id="rId62"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microsoft.com/office/2011/relationships/timelineCache" Target="timelineCaches/timelineCache1.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7.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3.1!PivotTable1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Platform</a:t>
            </a:r>
            <a:r>
              <a:rPr lang="en-IN" b="1" baseline="0"/>
              <a:t> with highest engagement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bar"/>
        <c:grouping val="clustered"/>
        <c:varyColors val="1"/>
        <c:ser>
          <c:idx val="0"/>
          <c:order val="0"/>
          <c:tx>
            <c:strRef>
              <c:f>'Task 3.1'!$B$3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997-4856-A2D2-BA684D41783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997-4856-A2D2-BA684D41783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997-4856-A2D2-BA684D41783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997-4856-A2D2-BA684D417837}"/>
              </c:ext>
            </c:extLst>
          </c:dPt>
          <c:cat>
            <c:strRef>
              <c:f>'Task 3.1'!$A$4:$A$7</c:f>
              <c:strCache>
                <c:ptCount val="4"/>
                <c:pt idx="0">
                  <c:v>YouTube</c:v>
                </c:pt>
                <c:pt idx="1">
                  <c:v>Twitter</c:v>
                </c:pt>
                <c:pt idx="2">
                  <c:v>Instagram</c:v>
                </c:pt>
                <c:pt idx="3">
                  <c:v>LinkedIn</c:v>
                </c:pt>
              </c:strCache>
            </c:strRef>
          </c:cat>
          <c:val>
            <c:numRef>
              <c:f>'Task 3.1'!$B$4:$B$7</c:f>
              <c:numCache>
                <c:formatCode>0.00</c:formatCode>
                <c:ptCount val="4"/>
                <c:pt idx="0">
                  <c:v>17.599262914182141</c:v>
                </c:pt>
                <c:pt idx="1">
                  <c:v>17.480513118999934</c:v>
                </c:pt>
                <c:pt idx="2">
                  <c:v>15.559291798886182</c:v>
                </c:pt>
                <c:pt idx="3">
                  <c:v>14.067998324800023</c:v>
                </c:pt>
              </c:numCache>
            </c:numRef>
          </c:val>
          <c:extLst>
            <c:ext xmlns:c16="http://schemas.microsoft.com/office/drawing/2014/chart" uri="{C3380CC4-5D6E-409C-BE32-E72D297353CC}">
              <c16:uniqueId val="{00000008-1CEB-4AC6-8515-B31D879CCC3E}"/>
            </c:ext>
          </c:extLst>
        </c:ser>
        <c:dLbls>
          <c:showLegendKey val="0"/>
          <c:showVal val="0"/>
          <c:showCatName val="0"/>
          <c:showSerName val="0"/>
          <c:showPercent val="0"/>
          <c:showBubbleSize val="0"/>
        </c:dLbls>
        <c:gapWidth val="182"/>
        <c:axId val="591059648"/>
        <c:axId val="591071648"/>
      </c:barChart>
      <c:catAx>
        <c:axId val="591059648"/>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Platform</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1071648"/>
        <c:crosses val="autoZero"/>
        <c:auto val="1"/>
        <c:lblAlgn val="ctr"/>
        <c:lblOffset val="100"/>
        <c:noMultiLvlLbl val="0"/>
      </c:catAx>
      <c:valAx>
        <c:axId val="59107164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Engagement Rate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5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3.2!PivotTable5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Follower Growth Rate across Platforms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rgbClr val="92D050"/>
          </a:solidFill>
          <a:ln>
            <a:noFill/>
          </a:ln>
          <a:effectLst/>
        </c:spPr>
      </c:pivotFmt>
      <c:pivotFmt>
        <c:idx val="3"/>
        <c:spPr>
          <a:solidFill>
            <a:schemeClr val="accent1"/>
          </a:solidFill>
          <a:ln>
            <a:noFill/>
          </a:ln>
          <a:effectLst/>
        </c:spPr>
      </c:pivotFmt>
      <c:pivotFmt>
        <c:idx val="4"/>
        <c:spPr>
          <a:solidFill>
            <a:srgbClr val="00B0F0"/>
          </a:solidFill>
          <a:ln>
            <a:noFill/>
          </a:ln>
          <a:effectLst/>
        </c:spPr>
      </c:pivotFmt>
    </c:pivotFmts>
    <c:plotArea>
      <c:layout/>
      <c:barChart>
        <c:barDir val="col"/>
        <c:grouping val="clustered"/>
        <c:varyColors val="1"/>
        <c:ser>
          <c:idx val="0"/>
          <c:order val="0"/>
          <c:tx>
            <c:strRef>
              <c:f>'Task 3.2'!$B$3</c:f>
              <c:strCache>
                <c:ptCount val="1"/>
                <c:pt idx="0">
                  <c:v>Total</c:v>
                </c:pt>
              </c:strCache>
            </c:strRef>
          </c:tx>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8D38-45D5-B0DE-D84184040D7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D38-45D5-B0DE-D84184040D76}"/>
              </c:ext>
            </c:extLst>
          </c:dPt>
          <c:dPt>
            <c:idx val="2"/>
            <c:invertIfNegative val="0"/>
            <c:bubble3D val="0"/>
            <c:spPr>
              <a:solidFill>
                <a:srgbClr val="00B0F0"/>
              </a:solidFill>
              <a:ln>
                <a:noFill/>
              </a:ln>
              <a:effectLst/>
            </c:spPr>
            <c:extLst>
              <c:ext xmlns:c16="http://schemas.microsoft.com/office/drawing/2014/chart" uri="{C3380CC4-5D6E-409C-BE32-E72D297353CC}">
                <c16:uniqueId val="{00000005-8D38-45D5-B0DE-D84184040D7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8D38-45D5-B0DE-D84184040D76}"/>
              </c:ext>
            </c:extLst>
          </c:dPt>
          <c:cat>
            <c:strRef>
              <c:f>'Task 3.2'!$A$4:$A$7</c:f>
              <c:strCache>
                <c:ptCount val="4"/>
                <c:pt idx="0">
                  <c:v>Twitter</c:v>
                </c:pt>
                <c:pt idx="1">
                  <c:v>LinkedIn</c:v>
                </c:pt>
                <c:pt idx="2">
                  <c:v>Instagram</c:v>
                </c:pt>
                <c:pt idx="3">
                  <c:v>YouTube</c:v>
                </c:pt>
              </c:strCache>
            </c:strRef>
          </c:cat>
          <c:val>
            <c:numRef>
              <c:f>'Task 3.2'!$B$4:$B$7</c:f>
              <c:numCache>
                <c:formatCode>General</c:formatCode>
                <c:ptCount val="4"/>
                <c:pt idx="0">
                  <c:v>303407</c:v>
                </c:pt>
                <c:pt idx="1">
                  <c:v>290487</c:v>
                </c:pt>
                <c:pt idx="2">
                  <c:v>261862</c:v>
                </c:pt>
                <c:pt idx="3">
                  <c:v>230642</c:v>
                </c:pt>
              </c:numCache>
            </c:numRef>
          </c:val>
          <c:extLst>
            <c:ext xmlns:c16="http://schemas.microsoft.com/office/drawing/2014/chart" uri="{C3380CC4-5D6E-409C-BE32-E72D297353CC}">
              <c16:uniqueId val="{0000000E-4176-45C4-ADA9-64B378BDE17C}"/>
            </c:ext>
          </c:extLst>
        </c:ser>
        <c:dLbls>
          <c:showLegendKey val="0"/>
          <c:showVal val="0"/>
          <c:showCatName val="0"/>
          <c:showSerName val="0"/>
          <c:showPercent val="0"/>
          <c:showBubbleSize val="0"/>
        </c:dLbls>
        <c:gapWidth val="219"/>
        <c:overlap val="-27"/>
        <c:axId val="440143359"/>
        <c:axId val="440146239"/>
      </c:barChart>
      <c:catAx>
        <c:axId val="4401433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Platform</a:t>
                </a:r>
              </a:p>
            </c:rich>
          </c:tx>
          <c:layout>
            <c:manualLayout>
              <c:xMode val="edge"/>
              <c:yMode val="edge"/>
              <c:x val="0.47918635170603674"/>
              <c:y val="0.883310002916302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46239"/>
        <c:crosses val="autoZero"/>
        <c:auto val="1"/>
        <c:lblAlgn val="ctr"/>
        <c:lblOffset val="100"/>
        <c:noMultiLvlLbl val="0"/>
      </c:catAx>
      <c:valAx>
        <c:axId val="44014623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Growth Rate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3.3 &amp; 3.4!PivotTable6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Engagement</a:t>
            </a:r>
            <a:r>
              <a:rPr lang="en-IN" b="1" baseline="0"/>
              <a:t> Vs. Ad Spend</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38358008075370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9349484073575596E-2"/>
              <c:y val="-2.9166666666666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0188425302826399E-2"/>
              <c:y val="-8.33333333333333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24315836698070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4674742036787798E-2"/>
              <c:y val="-2.5000000000000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3458950201884212E-2"/>
              <c:y val="-2.916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599195289014179"/>
          <c:y val="0.15454166666666669"/>
          <c:w val="0.57274297644153838"/>
          <c:h val="0.66044455380577427"/>
        </c:manualLayout>
      </c:layout>
      <c:bar3DChart>
        <c:barDir val="col"/>
        <c:grouping val="clustered"/>
        <c:varyColors val="0"/>
        <c:ser>
          <c:idx val="0"/>
          <c:order val="0"/>
          <c:tx>
            <c:strRef>
              <c:f>'Task 3.3 &amp; 3.4'!$B$3</c:f>
              <c:strCache>
                <c:ptCount val="1"/>
                <c:pt idx="0">
                  <c:v>Sum of Engagement_Rate</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5-30CB-44D9-87B6-72AF094666B1}"/>
              </c:ext>
            </c:extLst>
          </c:dPt>
          <c:dPt>
            <c:idx val="1"/>
            <c:invertIfNegative val="0"/>
            <c:bubble3D val="0"/>
            <c:extLst>
              <c:ext xmlns:c16="http://schemas.microsoft.com/office/drawing/2014/chart" uri="{C3380CC4-5D6E-409C-BE32-E72D297353CC}">
                <c16:uniqueId val="{00000000-5ECB-47E8-B184-81FCA5ED33C6}"/>
              </c:ext>
            </c:extLst>
          </c:dPt>
          <c:dLbls>
            <c:dLbl>
              <c:idx val="0"/>
              <c:layout>
                <c:manualLayout>
                  <c:x val="-2.0188425302826399E-2"/>
                  <c:y val="-8.33333333333333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CB-44D9-87B6-72AF094666B1}"/>
                </c:ext>
              </c:extLst>
            </c:dLbl>
            <c:dLbl>
              <c:idx val="1"/>
              <c:layout>
                <c:manualLayout>
                  <c:x val="-2.4674742036787798E-2"/>
                  <c:y val="-2.5000000000000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CB-47E8-B184-81FCA5ED33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3.3 &amp; 3.4'!$A$4:$A$8</c:f>
              <c:strCache>
                <c:ptCount val="4"/>
                <c:pt idx="0">
                  <c:v>Instagram</c:v>
                </c:pt>
                <c:pt idx="1">
                  <c:v>LinkedIn</c:v>
                </c:pt>
                <c:pt idx="2">
                  <c:v>Twitter</c:v>
                </c:pt>
                <c:pt idx="3">
                  <c:v>YouTube</c:v>
                </c:pt>
              </c:strCache>
            </c:strRef>
          </c:cat>
          <c:val>
            <c:numRef>
              <c:f>'Task 3.3 &amp; 3.4'!$B$4:$B$8</c:f>
              <c:numCache>
                <c:formatCode>0.0%</c:formatCode>
                <c:ptCount val="4"/>
                <c:pt idx="0">
                  <c:v>0.24679615995188059</c:v>
                </c:pt>
                <c:pt idx="1">
                  <c:v>0.24064308895514208</c:v>
                </c:pt>
                <c:pt idx="2">
                  <c:v>0.288143244814341</c:v>
                </c:pt>
                <c:pt idx="3">
                  <c:v>0.22441750627863649</c:v>
                </c:pt>
              </c:numCache>
            </c:numRef>
          </c:val>
          <c:extLst>
            <c:ext xmlns:c16="http://schemas.microsoft.com/office/drawing/2014/chart" uri="{C3380CC4-5D6E-409C-BE32-E72D297353CC}">
              <c16:uniqueId val="{00000000-30CB-44D9-87B6-72AF094666B1}"/>
            </c:ext>
          </c:extLst>
        </c:ser>
        <c:ser>
          <c:idx val="1"/>
          <c:order val="1"/>
          <c:tx>
            <c:strRef>
              <c:f>'Task 3.3 &amp; 3.4'!$C$3</c:f>
              <c:strCache>
                <c:ptCount val="1"/>
                <c:pt idx="0">
                  <c:v>Sum of Ad_Spend</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1-5ECB-47E8-B184-81FCA5ED33C6}"/>
              </c:ext>
            </c:extLst>
          </c:dPt>
          <c:dPt>
            <c:idx val="1"/>
            <c:invertIfNegative val="0"/>
            <c:bubble3D val="0"/>
            <c:extLst>
              <c:ext xmlns:c16="http://schemas.microsoft.com/office/drawing/2014/chart" uri="{C3380CC4-5D6E-409C-BE32-E72D297353CC}">
                <c16:uniqueId val="{00000006-30CB-44D9-87B6-72AF094666B1}"/>
              </c:ext>
            </c:extLst>
          </c:dPt>
          <c:dPt>
            <c:idx val="2"/>
            <c:invertIfNegative val="0"/>
            <c:bubble3D val="0"/>
            <c:extLst>
              <c:ext xmlns:c16="http://schemas.microsoft.com/office/drawing/2014/chart" uri="{C3380CC4-5D6E-409C-BE32-E72D297353CC}">
                <c16:uniqueId val="{00000004-30CB-44D9-87B6-72AF094666B1}"/>
              </c:ext>
            </c:extLst>
          </c:dPt>
          <c:dPt>
            <c:idx val="3"/>
            <c:invertIfNegative val="0"/>
            <c:bubble3D val="0"/>
            <c:extLst>
              <c:ext xmlns:c16="http://schemas.microsoft.com/office/drawing/2014/chart" uri="{C3380CC4-5D6E-409C-BE32-E72D297353CC}">
                <c16:uniqueId val="{00000003-30CB-44D9-87B6-72AF094666B1}"/>
              </c:ext>
            </c:extLst>
          </c:dPt>
          <c:dLbls>
            <c:dLbl>
              <c:idx val="0"/>
              <c:layout>
                <c:manualLayout>
                  <c:x val="1.3458950201884212E-2"/>
                  <c:y val="-2.9166666666666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CB-47E8-B184-81FCA5ED33C6}"/>
                </c:ext>
              </c:extLst>
            </c:dLbl>
            <c:dLbl>
              <c:idx val="1"/>
              <c:layout>
                <c:manualLayout>
                  <c:x val="2.24315836698070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CB-44D9-87B6-72AF094666B1}"/>
                </c:ext>
              </c:extLst>
            </c:dLbl>
            <c:dLbl>
              <c:idx val="2"/>
              <c:layout>
                <c:manualLayout>
                  <c:x val="4.9349484073575596E-2"/>
                  <c:y val="-2.9166666666666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CB-44D9-87B6-72AF094666B1}"/>
                </c:ext>
              </c:extLst>
            </c:dLbl>
            <c:dLbl>
              <c:idx val="3"/>
              <c:layout>
                <c:manualLayout>
                  <c:x val="5.38358008075370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CB-44D9-87B6-72AF094666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3.3 &amp; 3.4'!$A$4:$A$8</c:f>
              <c:strCache>
                <c:ptCount val="4"/>
                <c:pt idx="0">
                  <c:v>Instagram</c:v>
                </c:pt>
                <c:pt idx="1">
                  <c:v>LinkedIn</c:v>
                </c:pt>
                <c:pt idx="2">
                  <c:v>Twitter</c:v>
                </c:pt>
                <c:pt idx="3">
                  <c:v>YouTube</c:v>
                </c:pt>
              </c:strCache>
            </c:strRef>
          </c:cat>
          <c:val>
            <c:numRef>
              <c:f>'Task 3.3 &amp; 3.4'!$C$4:$C$8</c:f>
              <c:numCache>
                <c:formatCode>0.00%</c:formatCode>
                <c:ptCount val="4"/>
                <c:pt idx="0">
                  <c:v>0.25637633790779663</c:v>
                </c:pt>
                <c:pt idx="1">
                  <c:v>0.28736296099531389</c:v>
                </c:pt>
                <c:pt idx="2">
                  <c:v>0.27055303557456045</c:v>
                </c:pt>
                <c:pt idx="3">
                  <c:v>0.18570766552232901</c:v>
                </c:pt>
              </c:numCache>
            </c:numRef>
          </c:val>
          <c:extLst>
            <c:ext xmlns:c16="http://schemas.microsoft.com/office/drawing/2014/chart" uri="{C3380CC4-5D6E-409C-BE32-E72D297353CC}">
              <c16:uniqueId val="{00000001-30CB-44D9-87B6-72AF094666B1}"/>
            </c:ext>
          </c:extLst>
        </c:ser>
        <c:dLbls>
          <c:showLegendKey val="0"/>
          <c:showVal val="1"/>
          <c:showCatName val="0"/>
          <c:showSerName val="0"/>
          <c:showPercent val="0"/>
          <c:showBubbleSize val="0"/>
        </c:dLbls>
        <c:gapWidth val="150"/>
        <c:shape val="box"/>
        <c:axId val="1982427936"/>
        <c:axId val="1982415936"/>
        <c:axId val="0"/>
      </c:bar3DChart>
      <c:catAx>
        <c:axId val="198242793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Platform</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82415936"/>
        <c:crosses val="autoZero"/>
        <c:auto val="1"/>
        <c:lblAlgn val="ctr"/>
        <c:lblOffset val="100"/>
        <c:noMultiLvlLbl val="0"/>
      </c:catAx>
      <c:valAx>
        <c:axId val="1982415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427936"/>
        <c:crosses val="autoZero"/>
        <c:crossBetween val="between"/>
      </c:valAx>
      <c:spPr>
        <a:noFill/>
        <a:ln>
          <a:noFill/>
        </a:ln>
        <a:effectLst/>
      </c:spPr>
    </c:plotArea>
    <c:legend>
      <c:legendPos val="r"/>
      <c:layout>
        <c:manualLayout>
          <c:xMode val="edge"/>
          <c:yMode val="edge"/>
          <c:x val="0.74770756279960282"/>
          <c:y val="0.48404101049868764"/>
          <c:w val="0.23883348699851281"/>
          <c:h val="0.132292650918635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4.2!PivotTable5</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Average Performance of the</a:t>
            </a:r>
            <a:r>
              <a:rPr lang="en-US" sz="2000" b="1" baseline="0"/>
              <a:t> Posts containing Hashtags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barChart>
        <c:barDir val="bar"/>
        <c:grouping val="clustered"/>
        <c:varyColors val="1"/>
        <c:ser>
          <c:idx val="0"/>
          <c:order val="0"/>
          <c:tx>
            <c:strRef>
              <c:f>'Task 4.2'!$B$3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9B1-4D0C-815E-6615A5D3329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9B1-4D0C-815E-6615A5D3329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9B1-4D0C-815E-6615A5D3329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9B1-4D0C-815E-6615A5D3329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9B1-4D0C-815E-6615A5D3329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9B1-4D0C-815E-6615A5D3329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9B1-4D0C-815E-6615A5D33299}"/>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9B1-4D0C-815E-6615A5D33299}"/>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9B1-4D0C-815E-6615A5D33299}"/>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9B1-4D0C-815E-6615A5D33299}"/>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99B1-4D0C-815E-6615A5D33299}"/>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99B1-4D0C-815E-6615A5D33299}"/>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99B1-4D0C-815E-6615A5D33299}"/>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99B1-4D0C-815E-6615A5D33299}"/>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99B1-4D0C-815E-6615A5D33299}"/>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99B1-4D0C-815E-6615A5D33299}"/>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99B1-4D0C-815E-6615A5D33299}"/>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99B1-4D0C-815E-6615A5D33299}"/>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99B1-4D0C-815E-6615A5D33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4.2'!$A$4:$A$22</c:f>
              <c:strCache>
                <c:ptCount val="19"/>
                <c:pt idx="0">
                  <c:v>#AppleDesign</c:v>
                </c:pt>
                <c:pt idx="1">
                  <c:v>#AppleEarth</c:v>
                </c:pt>
                <c:pt idx="2">
                  <c:v>#AppleEvent</c:v>
                </c:pt>
                <c:pt idx="3">
                  <c:v>#AppleInnovation</c:v>
                </c:pt>
                <c:pt idx="4">
                  <c:v>#AppleLifestyle</c:v>
                </c:pt>
                <c:pt idx="5">
                  <c:v>#AppleMusic</c:v>
                </c:pt>
                <c:pt idx="6">
                  <c:v>#AppleWatch</c:v>
                </c:pt>
                <c:pt idx="7">
                  <c:v>#AppleWatchUltra2</c:v>
                </c:pt>
                <c:pt idx="8">
                  <c:v>#Health</c:v>
                </c:pt>
                <c:pt idx="9">
                  <c:v>#HealthTech</c:v>
                </c:pt>
                <c:pt idx="10">
                  <c:v>#Innovation</c:v>
                </c:pt>
                <c:pt idx="11">
                  <c:v>#iPadPro</c:v>
                </c:pt>
                <c:pt idx="12">
                  <c:v>#iPhone16</c:v>
                </c:pt>
                <c:pt idx="13">
                  <c:v>#iPhone16Launch</c:v>
                </c:pt>
                <c:pt idx="14">
                  <c:v>#iPhonePhotography</c:v>
                </c:pt>
                <c:pt idx="15">
                  <c:v>#MacBookAirM3</c:v>
                </c:pt>
                <c:pt idx="16">
                  <c:v>#MacBookProM3</c:v>
                </c:pt>
                <c:pt idx="17">
                  <c:v>#ShotOniPhone</c:v>
                </c:pt>
                <c:pt idx="18">
                  <c:v>#Sustainability</c:v>
                </c:pt>
              </c:strCache>
            </c:strRef>
          </c:cat>
          <c:val>
            <c:numRef>
              <c:f>'Task 4.2'!$B$4:$B$22</c:f>
              <c:numCache>
                <c:formatCode>0.000</c:formatCode>
                <c:ptCount val="19"/>
                <c:pt idx="0">
                  <c:v>0.11135741315150897</c:v>
                </c:pt>
                <c:pt idx="1">
                  <c:v>0.12019462245795258</c:v>
                </c:pt>
                <c:pt idx="2">
                  <c:v>0.11852150483225592</c:v>
                </c:pt>
                <c:pt idx="3">
                  <c:v>0.11789410371289012</c:v>
                </c:pt>
                <c:pt idx="4">
                  <c:v>0.13494947381413458</c:v>
                </c:pt>
                <c:pt idx="5">
                  <c:v>0.13494947381413458</c:v>
                </c:pt>
                <c:pt idx="6">
                  <c:v>0.1139972167692839</c:v>
                </c:pt>
                <c:pt idx="7">
                  <c:v>0.14380411271271717</c:v>
                </c:pt>
                <c:pt idx="8">
                  <c:v>0.1139972167692839</c:v>
                </c:pt>
                <c:pt idx="9">
                  <c:v>0.14380411271271717</c:v>
                </c:pt>
                <c:pt idx="10">
                  <c:v>0.11135741315150897</c:v>
                </c:pt>
                <c:pt idx="11">
                  <c:v>0.11195695112108224</c:v>
                </c:pt>
                <c:pt idx="12">
                  <c:v>0.12600406732043229</c:v>
                </c:pt>
                <c:pt idx="13">
                  <c:v>0.11456579865607176</c:v>
                </c:pt>
                <c:pt idx="14">
                  <c:v>0.12026676773989804</c:v>
                </c:pt>
                <c:pt idx="15">
                  <c:v>0.11789410371289012</c:v>
                </c:pt>
                <c:pt idx="16">
                  <c:v>0.10955527128571871</c:v>
                </c:pt>
                <c:pt idx="17">
                  <c:v>0.13315746256065997</c:v>
                </c:pt>
                <c:pt idx="18">
                  <c:v>0.12019462245795258</c:v>
                </c:pt>
              </c:numCache>
            </c:numRef>
          </c:val>
          <c:extLst>
            <c:ext xmlns:c16="http://schemas.microsoft.com/office/drawing/2014/chart" uri="{C3380CC4-5D6E-409C-BE32-E72D297353CC}">
              <c16:uniqueId val="{00000000-49A8-4552-9CD0-B824FA989512}"/>
            </c:ext>
          </c:extLst>
        </c:ser>
        <c:dLbls>
          <c:dLblPos val="outEnd"/>
          <c:showLegendKey val="0"/>
          <c:showVal val="1"/>
          <c:showCatName val="0"/>
          <c:showSerName val="0"/>
          <c:showPercent val="0"/>
          <c:showBubbleSize val="0"/>
        </c:dLbls>
        <c:gapWidth val="182"/>
        <c:axId val="1982438976"/>
        <c:axId val="1982422656"/>
      </c:barChart>
      <c:catAx>
        <c:axId val="1982438976"/>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Hashtag</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2422656"/>
        <c:crosses val="autoZero"/>
        <c:auto val="1"/>
        <c:lblAlgn val="ctr"/>
        <c:lblOffset val="100"/>
        <c:noMultiLvlLbl val="0"/>
      </c:catAx>
      <c:valAx>
        <c:axId val="1982422656"/>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Engagement</a:t>
                </a:r>
                <a:r>
                  <a:rPr lang="en-IN" sz="1100" b="1" baseline="0"/>
                  <a:t> Rate</a:t>
                </a:r>
                <a:endParaRPr lang="en-IN" sz="1100" b="1"/>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IN"/>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3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4.3!PivotTable6</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Content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'Task 4.3'!$B$3</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BD1D-4B47-9684-ABE4DF52A6D2}"/>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BD1D-4B47-9684-ABE4DF52A6D2}"/>
              </c:ext>
            </c:extLst>
          </c:dPt>
          <c:dPt>
            <c:idx val="2"/>
            <c:invertIfNegative val="0"/>
            <c:bubble3D val="0"/>
            <c:spPr>
              <a:solidFill>
                <a:srgbClr val="92D050"/>
              </a:solidFill>
              <a:ln>
                <a:noFill/>
              </a:ln>
              <a:effectLst/>
              <a:sp3d/>
            </c:spPr>
            <c:extLst>
              <c:ext xmlns:c16="http://schemas.microsoft.com/office/drawing/2014/chart" uri="{C3380CC4-5D6E-409C-BE32-E72D297353CC}">
                <c16:uniqueId val="{00000002-A13F-428A-ACED-B582CAC3392B}"/>
              </c:ext>
            </c:extLst>
          </c:dPt>
          <c:cat>
            <c:strRef>
              <c:f>'Task 4.3'!$A$4:$A$6</c:f>
              <c:strCache>
                <c:ptCount val="3"/>
                <c:pt idx="0">
                  <c:v>Carousel</c:v>
                </c:pt>
                <c:pt idx="1">
                  <c:v>Image</c:v>
                </c:pt>
                <c:pt idx="2">
                  <c:v>Video</c:v>
                </c:pt>
              </c:strCache>
            </c:strRef>
          </c:cat>
          <c:val>
            <c:numRef>
              <c:f>'Task 4.3'!$B$4:$B$6</c:f>
              <c:numCache>
                <c:formatCode>0.000</c:formatCode>
                <c:ptCount val="3"/>
                <c:pt idx="0">
                  <c:v>0.12185483251419393</c:v>
                </c:pt>
                <c:pt idx="1">
                  <c:v>0.11579192732927886</c:v>
                </c:pt>
                <c:pt idx="2">
                  <c:v>0.13931352878365191</c:v>
                </c:pt>
              </c:numCache>
            </c:numRef>
          </c:val>
          <c:extLst>
            <c:ext xmlns:c16="http://schemas.microsoft.com/office/drawing/2014/chart" uri="{C3380CC4-5D6E-409C-BE32-E72D297353CC}">
              <c16:uniqueId val="{00000000-A13F-428A-ACED-B582CAC3392B}"/>
            </c:ext>
          </c:extLst>
        </c:ser>
        <c:dLbls>
          <c:showLegendKey val="0"/>
          <c:showVal val="0"/>
          <c:showCatName val="0"/>
          <c:showSerName val="0"/>
          <c:showPercent val="0"/>
          <c:showBubbleSize val="0"/>
        </c:dLbls>
        <c:gapWidth val="150"/>
        <c:shape val="box"/>
        <c:axId val="1982391456"/>
        <c:axId val="1982382816"/>
        <c:axId val="0"/>
      </c:bar3DChart>
      <c:catAx>
        <c:axId val="198239145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Content Type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82816"/>
        <c:crosses val="autoZero"/>
        <c:auto val="1"/>
        <c:lblAlgn val="ctr"/>
        <c:lblOffset val="100"/>
        <c:noMultiLvlLbl val="0"/>
      </c:catAx>
      <c:valAx>
        <c:axId val="1982382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Engagement</a:t>
                </a:r>
                <a:r>
                  <a:rPr lang="en-IN" b="1" baseline="0"/>
                  <a:t> Rate</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9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4.4!PivotTable7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Content</a:t>
            </a:r>
            <a:r>
              <a:rPr lang="en-IN" b="1" baseline="0"/>
              <a:t> Performance on the Platforms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4.4'!$B$4:$B$5</c:f>
              <c:strCache>
                <c:ptCount val="1"/>
                <c:pt idx="0">
                  <c:v>Image</c:v>
                </c:pt>
              </c:strCache>
            </c:strRef>
          </c:tx>
          <c:spPr>
            <a:solidFill>
              <a:srgbClr val="FF0000"/>
            </a:solidFill>
            <a:ln>
              <a:noFill/>
            </a:ln>
            <a:effectLst/>
          </c:spPr>
          <c:invertIfNegative val="0"/>
          <c:cat>
            <c:strRef>
              <c:f>'Task 4.4'!$A$6:$A$9</c:f>
              <c:strCache>
                <c:ptCount val="4"/>
                <c:pt idx="0">
                  <c:v>Twitter</c:v>
                </c:pt>
                <c:pt idx="1">
                  <c:v>Instagram</c:v>
                </c:pt>
                <c:pt idx="2">
                  <c:v>LinkedIn</c:v>
                </c:pt>
                <c:pt idx="3">
                  <c:v>YouTube</c:v>
                </c:pt>
              </c:strCache>
            </c:strRef>
          </c:cat>
          <c:val>
            <c:numRef>
              <c:f>'Task 4.4'!$B$6:$B$9</c:f>
              <c:numCache>
                <c:formatCode>0.0000</c:formatCode>
                <c:ptCount val="4"/>
                <c:pt idx="0">
                  <c:v>0.18518306795651693</c:v>
                </c:pt>
                <c:pt idx="1">
                  <c:v>9.3185789932585181E-2</c:v>
                </c:pt>
                <c:pt idx="2">
                  <c:v>0.11927845946707004</c:v>
                </c:pt>
                <c:pt idx="3">
                  <c:v>9.7930632572636275E-2</c:v>
                </c:pt>
              </c:numCache>
            </c:numRef>
          </c:val>
          <c:extLst>
            <c:ext xmlns:c16="http://schemas.microsoft.com/office/drawing/2014/chart" uri="{C3380CC4-5D6E-409C-BE32-E72D297353CC}">
              <c16:uniqueId val="{00000000-DD56-4743-A29D-3AC1EDC22BB0}"/>
            </c:ext>
          </c:extLst>
        </c:ser>
        <c:ser>
          <c:idx val="1"/>
          <c:order val="1"/>
          <c:tx>
            <c:strRef>
              <c:f>'Task 4.4'!$C$4:$C$5</c:f>
              <c:strCache>
                <c:ptCount val="1"/>
                <c:pt idx="0">
                  <c:v>Carousel</c:v>
                </c:pt>
              </c:strCache>
            </c:strRef>
          </c:tx>
          <c:spPr>
            <a:solidFill>
              <a:srgbClr val="002060"/>
            </a:solidFill>
            <a:ln>
              <a:noFill/>
            </a:ln>
            <a:effectLst/>
          </c:spPr>
          <c:invertIfNegative val="0"/>
          <c:cat>
            <c:strRef>
              <c:f>'Task 4.4'!$A$6:$A$9</c:f>
              <c:strCache>
                <c:ptCount val="4"/>
                <c:pt idx="0">
                  <c:v>Twitter</c:v>
                </c:pt>
                <c:pt idx="1">
                  <c:v>Instagram</c:v>
                </c:pt>
                <c:pt idx="2">
                  <c:v>LinkedIn</c:v>
                </c:pt>
                <c:pt idx="3">
                  <c:v>YouTube</c:v>
                </c:pt>
              </c:strCache>
            </c:strRef>
          </c:cat>
          <c:val>
            <c:numRef>
              <c:f>'Task 4.4'!$C$6:$C$9</c:f>
              <c:numCache>
                <c:formatCode>0.0000</c:formatCode>
                <c:ptCount val="4"/>
                <c:pt idx="0">
                  <c:v>0.14058683064209121</c:v>
                </c:pt>
                <c:pt idx="1">
                  <c:v>0.12448331763030893</c:v>
                </c:pt>
                <c:pt idx="2">
                  <c:v>0.11078961736244364</c:v>
                </c:pt>
                <c:pt idx="3">
                  <c:v>0.10840108037749803</c:v>
                </c:pt>
              </c:numCache>
            </c:numRef>
          </c:val>
          <c:extLst>
            <c:ext xmlns:c16="http://schemas.microsoft.com/office/drawing/2014/chart" uri="{C3380CC4-5D6E-409C-BE32-E72D297353CC}">
              <c16:uniqueId val="{00000001-DD56-4743-A29D-3AC1EDC22BB0}"/>
            </c:ext>
          </c:extLst>
        </c:ser>
        <c:ser>
          <c:idx val="2"/>
          <c:order val="2"/>
          <c:tx>
            <c:strRef>
              <c:f>'Task 4.4'!$D$4:$D$5</c:f>
              <c:strCache>
                <c:ptCount val="1"/>
                <c:pt idx="0">
                  <c:v>Video</c:v>
                </c:pt>
              </c:strCache>
            </c:strRef>
          </c:tx>
          <c:spPr>
            <a:solidFill>
              <a:srgbClr val="FFFF00"/>
            </a:solidFill>
            <a:ln>
              <a:noFill/>
            </a:ln>
            <a:effectLst/>
          </c:spPr>
          <c:invertIfNegative val="0"/>
          <c:cat>
            <c:strRef>
              <c:f>'Task 4.4'!$A$6:$A$9</c:f>
              <c:strCache>
                <c:ptCount val="4"/>
                <c:pt idx="0">
                  <c:v>Twitter</c:v>
                </c:pt>
                <c:pt idx="1">
                  <c:v>Instagram</c:v>
                </c:pt>
                <c:pt idx="2">
                  <c:v>LinkedIn</c:v>
                </c:pt>
                <c:pt idx="3">
                  <c:v>YouTube</c:v>
                </c:pt>
              </c:strCache>
            </c:strRef>
          </c:cat>
          <c:val>
            <c:numRef>
              <c:f>'Task 4.4'!$D$6:$D$9</c:f>
              <c:numCache>
                <c:formatCode>0.0000</c:formatCode>
                <c:ptCount val="4"/>
                <c:pt idx="0">
                  <c:v>0.13825432830204212</c:v>
                </c:pt>
                <c:pt idx="1">
                  <c:v>0.1419521656504289</c:v>
                </c:pt>
                <c:pt idx="2">
                  <c:v>0.15713453663338484</c:v>
                </c:pt>
                <c:pt idx="3">
                  <c:v>0.12248429525616394</c:v>
                </c:pt>
              </c:numCache>
            </c:numRef>
          </c:val>
          <c:extLst>
            <c:ext xmlns:c16="http://schemas.microsoft.com/office/drawing/2014/chart" uri="{C3380CC4-5D6E-409C-BE32-E72D297353CC}">
              <c16:uniqueId val="{00000002-DD56-4743-A29D-3AC1EDC22BB0}"/>
            </c:ext>
          </c:extLst>
        </c:ser>
        <c:ser>
          <c:idx val="3"/>
          <c:order val="3"/>
          <c:tx>
            <c:strRef>
              <c:f>'Task 4.4'!$E$4:$E$5</c:f>
              <c:strCache>
                <c:ptCount val="1"/>
                <c:pt idx="0">
                  <c:v>Tweet</c:v>
                </c:pt>
              </c:strCache>
            </c:strRef>
          </c:tx>
          <c:spPr>
            <a:solidFill>
              <a:srgbClr val="00B050"/>
            </a:solidFill>
            <a:ln>
              <a:noFill/>
            </a:ln>
            <a:effectLst/>
          </c:spPr>
          <c:invertIfNegative val="0"/>
          <c:cat>
            <c:strRef>
              <c:f>'Task 4.4'!$A$6:$A$9</c:f>
              <c:strCache>
                <c:ptCount val="4"/>
                <c:pt idx="0">
                  <c:v>Twitter</c:v>
                </c:pt>
                <c:pt idx="1">
                  <c:v>Instagram</c:v>
                </c:pt>
                <c:pt idx="2">
                  <c:v>LinkedIn</c:v>
                </c:pt>
                <c:pt idx="3">
                  <c:v>YouTube</c:v>
                </c:pt>
              </c:strCache>
            </c:strRef>
          </c:cat>
          <c:val>
            <c:numRef>
              <c:f>'Task 4.4'!$E$6:$E$9</c:f>
              <c:numCache>
                <c:formatCode>0.0000</c:formatCode>
                <c:ptCount val="4"/>
                <c:pt idx="0">
                  <c:v>0.11654232584093846</c:v>
                </c:pt>
                <c:pt idx="1">
                  <c:v>0.1172928195875962</c:v>
                </c:pt>
                <c:pt idx="2">
                  <c:v>0.11472045290563467</c:v>
                </c:pt>
                <c:pt idx="3">
                  <c:v>9.8147395731168319E-2</c:v>
                </c:pt>
              </c:numCache>
            </c:numRef>
          </c:val>
          <c:extLst>
            <c:ext xmlns:c16="http://schemas.microsoft.com/office/drawing/2014/chart" uri="{C3380CC4-5D6E-409C-BE32-E72D297353CC}">
              <c16:uniqueId val="{00000003-DD56-4743-A29D-3AC1EDC22BB0}"/>
            </c:ext>
          </c:extLst>
        </c:ser>
        <c:dLbls>
          <c:showLegendKey val="0"/>
          <c:showVal val="0"/>
          <c:showCatName val="0"/>
          <c:showSerName val="0"/>
          <c:showPercent val="0"/>
          <c:showBubbleSize val="0"/>
        </c:dLbls>
        <c:gapWidth val="219"/>
        <c:overlap val="-27"/>
        <c:axId val="1982390496"/>
        <c:axId val="1982407296"/>
      </c:barChart>
      <c:catAx>
        <c:axId val="198239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Platform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407296"/>
        <c:crosses val="autoZero"/>
        <c:auto val="1"/>
        <c:lblAlgn val="ctr"/>
        <c:lblOffset val="100"/>
        <c:noMultiLvlLbl val="0"/>
      </c:catAx>
      <c:valAx>
        <c:axId val="198240729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Engagement</a:t>
                </a:r>
                <a:r>
                  <a:rPr lang="en-IN" b="1" baseline="0"/>
                  <a:t> Rate</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9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Engagement</a:t>
            </a:r>
            <a:r>
              <a:rPr lang="en-IN" b="1" baseline="0"/>
              <a:t> Rate Before Vs During</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'Task 5.1b'!$B$3</c:f>
              <c:strCache>
                <c:ptCount val="1"/>
                <c:pt idx="0">
                  <c:v>Engagement Rate Before the Campaign</c:v>
                </c:pt>
              </c:strCache>
            </c:strRef>
          </c:tx>
          <c:spPr>
            <a:solidFill>
              <a:schemeClr val="accent1"/>
            </a:solidFill>
            <a:ln>
              <a:noFill/>
            </a:ln>
            <a:effectLst/>
          </c:spPr>
          <c:invertIfNegative val="0"/>
          <c:cat>
            <c:strRef>
              <c:f>'Task 5.1b'!$A$4:$A$8</c:f>
              <c:strCache>
                <c:ptCount val="5"/>
                <c:pt idx="0">
                  <c:v>Apple Event September 2025</c:v>
                </c:pt>
                <c:pt idx="1">
                  <c:v>Apple Watch Ultra 2 Launch</c:v>
                </c:pt>
                <c:pt idx="2">
                  <c:v>iPhone 16 Launch</c:v>
                </c:pt>
                <c:pt idx="3">
                  <c:v>MacBook Air M3 Campaign</c:v>
                </c:pt>
                <c:pt idx="4">
                  <c:v>Sustainability Awareness Drive</c:v>
                </c:pt>
              </c:strCache>
            </c:strRef>
          </c:cat>
          <c:val>
            <c:numRef>
              <c:f>'Task 5.1b'!$B$4:$B$8</c:f>
              <c:numCache>
                <c:formatCode>0.00</c:formatCode>
                <c:ptCount val="5"/>
                <c:pt idx="0" formatCode="General">
                  <c:v>0</c:v>
                </c:pt>
                <c:pt idx="1">
                  <c:v>11.762581973210116</c:v>
                </c:pt>
                <c:pt idx="2">
                  <c:v>0.45485611165505191</c:v>
                </c:pt>
                <c:pt idx="3">
                  <c:v>2.4123559544299074</c:v>
                </c:pt>
                <c:pt idx="4">
                  <c:v>10.451476797789228</c:v>
                </c:pt>
              </c:numCache>
            </c:numRef>
          </c:val>
          <c:extLst>
            <c:ext xmlns:c16="http://schemas.microsoft.com/office/drawing/2014/chart" uri="{C3380CC4-5D6E-409C-BE32-E72D297353CC}">
              <c16:uniqueId val="{00000000-9AD0-4434-AF0D-3B453A958ADC}"/>
            </c:ext>
          </c:extLst>
        </c:ser>
        <c:ser>
          <c:idx val="1"/>
          <c:order val="1"/>
          <c:tx>
            <c:strRef>
              <c:f>'Task 5.1b'!$C$3</c:f>
              <c:strCache>
                <c:ptCount val="1"/>
                <c:pt idx="0">
                  <c:v>Engagement Rate During the Campaign</c:v>
                </c:pt>
              </c:strCache>
            </c:strRef>
          </c:tx>
          <c:spPr>
            <a:solidFill>
              <a:schemeClr val="accent2"/>
            </a:solidFill>
            <a:ln>
              <a:noFill/>
            </a:ln>
            <a:effectLst/>
          </c:spPr>
          <c:invertIfNegative val="0"/>
          <c:cat>
            <c:strRef>
              <c:f>'Task 5.1b'!$A$4:$A$8</c:f>
              <c:strCache>
                <c:ptCount val="5"/>
                <c:pt idx="0">
                  <c:v>Apple Event September 2025</c:v>
                </c:pt>
                <c:pt idx="1">
                  <c:v>Apple Watch Ultra 2 Launch</c:v>
                </c:pt>
                <c:pt idx="2">
                  <c:v>iPhone 16 Launch</c:v>
                </c:pt>
                <c:pt idx="3">
                  <c:v>MacBook Air M3 Campaign</c:v>
                </c:pt>
                <c:pt idx="4">
                  <c:v>Sustainability Awareness Drive</c:v>
                </c:pt>
              </c:strCache>
            </c:strRef>
          </c:cat>
          <c:val>
            <c:numRef>
              <c:f>'Task 5.1b'!$C$4:$C$8</c:f>
              <c:numCache>
                <c:formatCode>0.00</c:formatCode>
                <c:ptCount val="5"/>
                <c:pt idx="0">
                  <c:v>12.417431016075886</c:v>
                </c:pt>
                <c:pt idx="1">
                  <c:v>0.26407059547042716</c:v>
                </c:pt>
                <c:pt idx="2">
                  <c:v>1.5102511934625773</c:v>
                </c:pt>
                <c:pt idx="3">
                  <c:v>1.1195457798396971</c:v>
                </c:pt>
                <c:pt idx="4">
                  <c:v>0.82554288471884352</c:v>
                </c:pt>
              </c:numCache>
            </c:numRef>
          </c:val>
          <c:extLst>
            <c:ext xmlns:c16="http://schemas.microsoft.com/office/drawing/2014/chart" uri="{C3380CC4-5D6E-409C-BE32-E72D297353CC}">
              <c16:uniqueId val="{00000001-9AD0-4434-AF0D-3B453A958ADC}"/>
            </c:ext>
          </c:extLst>
        </c:ser>
        <c:dLbls>
          <c:showLegendKey val="0"/>
          <c:showVal val="0"/>
          <c:showCatName val="0"/>
          <c:showSerName val="0"/>
          <c:showPercent val="0"/>
          <c:showBubbleSize val="0"/>
        </c:dLbls>
        <c:gapWidth val="219"/>
        <c:overlap val="-27"/>
        <c:axId val="213688368"/>
        <c:axId val="866298784"/>
      </c:barChart>
      <c:catAx>
        <c:axId val="213688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Campaign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298784"/>
        <c:crosses val="autoZero"/>
        <c:auto val="1"/>
        <c:lblAlgn val="ctr"/>
        <c:lblOffset val="100"/>
        <c:noMultiLvlLbl val="0"/>
      </c:catAx>
      <c:valAx>
        <c:axId val="86629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Engagement</a:t>
                </a:r>
                <a:r>
                  <a:rPr lang="en-IN" b="1" baseline="0"/>
                  <a:t> Rate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88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'Task 5.1b'!$D$3:$D$4</c:f>
              <c:strCache>
                <c:ptCount val="2"/>
                <c:pt idx="0">
                  <c:v>Engagement Uplift</c:v>
                </c:pt>
              </c:strCache>
            </c:strRef>
          </c:tx>
          <c:spPr>
            <a:ln w="28575" cap="rnd">
              <a:solidFill>
                <a:schemeClr val="accent6">
                  <a:lumMod val="60000"/>
                  <a:lumOff val="40000"/>
                </a:schemeClr>
              </a:solidFill>
              <a:round/>
            </a:ln>
            <a:effectLst/>
          </c:spPr>
          <c:marker>
            <c:symbol val="none"/>
          </c:marker>
          <c:trendline>
            <c:spPr>
              <a:ln w="19050" cap="rnd">
                <a:solidFill>
                  <a:schemeClr val="accent1"/>
                </a:solidFill>
                <a:prstDash val="sysDot"/>
              </a:ln>
              <a:effectLst/>
            </c:spPr>
            <c:trendlineType val="linear"/>
            <c:dispRSqr val="0"/>
            <c:dispEq val="0"/>
          </c:trendline>
          <c:cat>
            <c:strRef>
              <c:f>'Task 5.1b'!$A$5:$A$8</c:f>
              <c:strCache>
                <c:ptCount val="4"/>
                <c:pt idx="0">
                  <c:v>Apple Watch Ultra 2 Launch</c:v>
                </c:pt>
                <c:pt idx="1">
                  <c:v>iPhone 16 Launch</c:v>
                </c:pt>
                <c:pt idx="2">
                  <c:v>MacBook Air M3 Campaign</c:v>
                </c:pt>
                <c:pt idx="3">
                  <c:v>Sustainability Awareness Drive</c:v>
                </c:pt>
              </c:strCache>
            </c:strRef>
          </c:cat>
          <c:val>
            <c:numRef>
              <c:f>'Task 5.1b'!$D$5:$D$8</c:f>
              <c:numCache>
                <c:formatCode>0%</c:formatCode>
                <c:ptCount val="4"/>
                <c:pt idx="0">
                  <c:v>-0.97754994642572002</c:v>
                </c:pt>
                <c:pt idx="1">
                  <c:v>2.3202833924058668</c:v>
                </c:pt>
                <c:pt idx="2">
                  <c:v>-0.53591186334511309</c:v>
                </c:pt>
                <c:pt idx="3">
                  <c:v>-0.92101184352306376</c:v>
                </c:pt>
              </c:numCache>
            </c:numRef>
          </c:val>
          <c:smooth val="0"/>
          <c:extLst>
            <c:ext xmlns:c16="http://schemas.microsoft.com/office/drawing/2014/chart" uri="{C3380CC4-5D6E-409C-BE32-E72D297353CC}">
              <c16:uniqueId val="{00000000-F61D-4281-B5A2-83CB36536141}"/>
            </c:ext>
          </c:extLst>
        </c:ser>
        <c:dLbls>
          <c:showLegendKey val="0"/>
          <c:showVal val="0"/>
          <c:showCatName val="0"/>
          <c:showSerName val="0"/>
          <c:showPercent val="0"/>
          <c:showBubbleSize val="0"/>
        </c:dLbls>
        <c:smooth val="0"/>
        <c:axId val="141422575"/>
        <c:axId val="141406255"/>
      </c:lineChart>
      <c:catAx>
        <c:axId val="141422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Campaign</a:t>
                </a:r>
              </a:p>
            </c:rich>
          </c:tx>
          <c:layout>
            <c:manualLayout>
              <c:xMode val="edge"/>
              <c:yMode val="edge"/>
              <c:x val="0.47417754030746156"/>
              <c:y val="0.895405461860520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06255"/>
        <c:crosses val="autoZero"/>
        <c:auto val="1"/>
        <c:lblAlgn val="ctr"/>
        <c:lblOffset val="100"/>
        <c:noMultiLvlLbl val="0"/>
      </c:catAx>
      <c:valAx>
        <c:axId val="1414062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22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6.1 !PivotTable11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Weekly Follower Growth Per Platform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6.1 '!$B$3:$B$4</c:f>
              <c:strCache>
                <c:ptCount val="1"/>
                <c:pt idx="0">
                  <c:v>Instagram</c:v>
                </c:pt>
              </c:strCache>
            </c:strRef>
          </c:tx>
          <c:spPr>
            <a:ln w="28575" cap="rnd">
              <a:solidFill>
                <a:schemeClr val="accent1"/>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'!$B$5:$B$55</c:f>
              <c:numCache>
                <c:formatCode>General</c:formatCode>
                <c:ptCount val="50"/>
                <c:pt idx="0">
                  <c:v>3777</c:v>
                </c:pt>
                <c:pt idx="1">
                  <c:v>7215</c:v>
                </c:pt>
                <c:pt idx="2">
                  <c:v>13130</c:v>
                </c:pt>
                <c:pt idx="3">
                  <c:v>4885</c:v>
                </c:pt>
                <c:pt idx="4">
                  <c:v>5928</c:v>
                </c:pt>
                <c:pt idx="5">
                  <c:v>0</c:v>
                </c:pt>
                <c:pt idx="6">
                  <c:v>4967</c:v>
                </c:pt>
                <c:pt idx="7">
                  <c:v>0</c:v>
                </c:pt>
                <c:pt idx="8">
                  <c:v>0</c:v>
                </c:pt>
                <c:pt idx="9">
                  <c:v>3213</c:v>
                </c:pt>
                <c:pt idx="10">
                  <c:v>6853</c:v>
                </c:pt>
                <c:pt idx="11">
                  <c:v>13835</c:v>
                </c:pt>
                <c:pt idx="12">
                  <c:v>8231</c:v>
                </c:pt>
                <c:pt idx="13">
                  <c:v>7396</c:v>
                </c:pt>
                <c:pt idx="14">
                  <c:v>7442</c:v>
                </c:pt>
                <c:pt idx="15">
                  <c:v>0</c:v>
                </c:pt>
                <c:pt idx="16">
                  <c:v>13040</c:v>
                </c:pt>
                <c:pt idx="17">
                  <c:v>9904</c:v>
                </c:pt>
                <c:pt idx="18">
                  <c:v>4808</c:v>
                </c:pt>
                <c:pt idx="19">
                  <c:v>0</c:v>
                </c:pt>
                <c:pt idx="20">
                  <c:v>23973</c:v>
                </c:pt>
                <c:pt idx="21">
                  <c:v>0</c:v>
                </c:pt>
                <c:pt idx="22">
                  <c:v>0</c:v>
                </c:pt>
                <c:pt idx="23">
                  <c:v>0</c:v>
                </c:pt>
                <c:pt idx="24">
                  <c:v>5206</c:v>
                </c:pt>
                <c:pt idx="25">
                  <c:v>14537</c:v>
                </c:pt>
                <c:pt idx="26">
                  <c:v>8999</c:v>
                </c:pt>
                <c:pt idx="27">
                  <c:v>3461</c:v>
                </c:pt>
                <c:pt idx="28">
                  <c:v>4802</c:v>
                </c:pt>
                <c:pt idx="29">
                  <c:v>4314</c:v>
                </c:pt>
                <c:pt idx="30">
                  <c:v>4214</c:v>
                </c:pt>
                <c:pt idx="31">
                  <c:v>0</c:v>
                </c:pt>
                <c:pt idx="32">
                  <c:v>2919</c:v>
                </c:pt>
                <c:pt idx="33">
                  <c:v>0</c:v>
                </c:pt>
                <c:pt idx="34">
                  <c:v>3643</c:v>
                </c:pt>
                <c:pt idx="35">
                  <c:v>0</c:v>
                </c:pt>
                <c:pt idx="36">
                  <c:v>0</c:v>
                </c:pt>
                <c:pt idx="37">
                  <c:v>11468</c:v>
                </c:pt>
                <c:pt idx="38">
                  <c:v>15087</c:v>
                </c:pt>
                <c:pt idx="39">
                  <c:v>0</c:v>
                </c:pt>
                <c:pt idx="40">
                  <c:v>2994</c:v>
                </c:pt>
                <c:pt idx="41">
                  <c:v>8292</c:v>
                </c:pt>
                <c:pt idx="42">
                  <c:v>0</c:v>
                </c:pt>
                <c:pt idx="43">
                  <c:v>6128</c:v>
                </c:pt>
                <c:pt idx="44">
                  <c:v>1425</c:v>
                </c:pt>
                <c:pt idx="45">
                  <c:v>0</c:v>
                </c:pt>
                <c:pt idx="46">
                  <c:v>15012</c:v>
                </c:pt>
                <c:pt idx="47">
                  <c:v>0</c:v>
                </c:pt>
                <c:pt idx="48">
                  <c:v>7959</c:v>
                </c:pt>
                <c:pt idx="49">
                  <c:v>2805</c:v>
                </c:pt>
              </c:numCache>
            </c:numRef>
          </c:val>
          <c:smooth val="0"/>
          <c:extLst>
            <c:ext xmlns:c16="http://schemas.microsoft.com/office/drawing/2014/chart" uri="{C3380CC4-5D6E-409C-BE32-E72D297353CC}">
              <c16:uniqueId val="{00000000-45B2-467C-9251-D65AF88A5840}"/>
            </c:ext>
          </c:extLst>
        </c:ser>
        <c:ser>
          <c:idx val="1"/>
          <c:order val="1"/>
          <c:tx>
            <c:strRef>
              <c:f>'Task 6.1 '!$C$3:$C$4</c:f>
              <c:strCache>
                <c:ptCount val="1"/>
                <c:pt idx="0">
                  <c:v>LinkedIn</c:v>
                </c:pt>
              </c:strCache>
            </c:strRef>
          </c:tx>
          <c:spPr>
            <a:ln w="28575" cap="rnd">
              <a:solidFill>
                <a:schemeClr val="accent2"/>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'!$C$5:$C$55</c:f>
              <c:numCache>
                <c:formatCode>General</c:formatCode>
                <c:ptCount val="50"/>
                <c:pt idx="0">
                  <c:v>0</c:v>
                </c:pt>
                <c:pt idx="1">
                  <c:v>0</c:v>
                </c:pt>
                <c:pt idx="2">
                  <c:v>6728</c:v>
                </c:pt>
                <c:pt idx="3">
                  <c:v>0</c:v>
                </c:pt>
                <c:pt idx="4">
                  <c:v>5442</c:v>
                </c:pt>
                <c:pt idx="5">
                  <c:v>11378</c:v>
                </c:pt>
                <c:pt idx="6">
                  <c:v>0</c:v>
                </c:pt>
                <c:pt idx="7">
                  <c:v>15403</c:v>
                </c:pt>
                <c:pt idx="8">
                  <c:v>7537</c:v>
                </c:pt>
                <c:pt idx="9">
                  <c:v>4847</c:v>
                </c:pt>
                <c:pt idx="10">
                  <c:v>0</c:v>
                </c:pt>
                <c:pt idx="11">
                  <c:v>0</c:v>
                </c:pt>
                <c:pt idx="12">
                  <c:v>1513</c:v>
                </c:pt>
                <c:pt idx="13">
                  <c:v>8228</c:v>
                </c:pt>
                <c:pt idx="14">
                  <c:v>6121</c:v>
                </c:pt>
                <c:pt idx="15">
                  <c:v>2199</c:v>
                </c:pt>
                <c:pt idx="16">
                  <c:v>0</c:v>
                </c:pt>
                <c:pt idx="17">
                  <c:v>0</c:v>
                </c:pt>
                <c:pt idx="18">
                  <c:v>2421</c:v>
                </c:pt>
                <c:pt idx="19">
                  <c:v>0</c:v>
                </c:pt>
                <c:pt idx="20">
                  <c:v>0</c:v>
                </c:pt>
                <c:pt idx="21">
                  <c:v>14812</c:v>
                </c:pt>
                <c:pt idx="22">
                  <c:v>4942</c:v>
                </c:pt>
                <c:pt idx="23">
                  <c:v>4882</c:v>
                </c:pt>
                <c:pt idx="24">
                  <c:v>9648</c:v>
                </c:pt>
                <c:pt idx="25">
                  <c:v>8945</c:v>
                </c:pt>
                <c:pt idx="26">
                  <c:v>5402</c:v>
                </c:pt>
                <c:pt idx="27">
                  <c:v>949</c:v>
                </c:pt>
                <c:pt idx="28">
                  <c:v>8527</c:v>
                </c:pt>
                <c:pt idx="29">
                  <c:v>7541</c:v>
                </c:pt>
                <c:pt idx="30">
                  <c:v>16577</c:v>
                </c:pt>
                <c:pt idx="31">
                  <c:v>9254</c:v>
                </c:pt>
                <c:pt idx="32">
                  <c:v>7471</c:v>
                </c:pt>
                <c:pt idx="33">
                  <c:v>0</c:v>
                </c:pt>
                <c:pt idx="34">
                  <c:v>7260</c:v>
                </c:pt>
                <c:pt idx="35">
                  <c:v>0</c:v>
                </c:pt>
                <c:pt idx="36">
                  <c:v>12622</c:v>
                </c:pt>
                <c:pt idx="37">
                  <c:v>5101</c:v>
                </c:pt>
                <c:pt idx="38">
                  <c:v>0</c:v>
                </c:pt>
                <c:pt idx="39">
                  <c:v>7432</c:v>
                </c:pt>
                <c:pt idx="40">
                  <c:v>2535</c:v>
                </c:pt>
                <c:pt idx="41">
                  <c:v>19728</c:v>
                </c:pt>
                <c:pt idx="42">
                  <c:v>21227</c:v>
                </c:pt>
                <c:pt idx="43">
                  <c:v>1660</c:v>
                </c:pt>
                <c:pt idx="44">
                  <c:v>4542</c:v>
                </c:pt>
                <c:pt idx="45">
                  <c:v>24995</c:v>
                </c:pt>
                <c:pt idx="46">
                  <c:v>0</c:v>
                </c:pt>
                <c:pt idx="47">
                  <c:v>1512</c:v>
                </c:pt>
                <c:pt idx="48">
                  <c:v>2960</c:v>
                </c:pt>
                <c:pt idx="49">
                  <c:v>8146</c:v>
                </c:pt>
              </c:numCache>
            </c:numRef>
          </c:val>
          <c:smooth val="0"/>
          <c:extLst>
            <c:ext xmlns:c16="http://schemas.microsoft.com/office/drawing/2014/chart" uri="{C3380CC4-5D6E-409C-BE32-E72D297353CC}">
              <c16:uniqueId val="{00000001-45B2-467C-9251-D65AF88A5840}"/>
            </c:ext>
          </c:extLst>
        </c:ser>
        <c:ser>
          <c:idx val="2"/>
          <c:order val="2"/>
          <c:tx>
            <c:strRef>
              <c:f>'Task 6.1 '!$D$3:$D$4</c:f>
              <c:strCache>
                <c:ptCount val="1"/>
                <c:pt idx="0">
                  <c:v>Twitter</c:v>
                </c:pt>
              </c:strCache>
            </c:strRef>
          </c:tx>
          <c:spPr>
            <a:ln w="28575" cap="rnd">
              <a:solidFill>
                <a:srgbClr val="92D050"/>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'!$D$5:$D$55</c:f>
              <c:numCache>
                <c:formatCode>General</c:formatCode>
                <c:ptCount val="50"/>
                <c:pt idx="0">
                  <c:v>7432</c:v>
                </c:pt>
                <c:pt idx="1">
                  <c:v>8369</c:v>
                </c:pt>
                <c:pt idx="2">
                  <c:v>6073</c:v>
                </c:pt>
                <c:pt idx="3">
                  <c:v>15084</c:v>
                </c:pt>
                <c:pt idx="4">
                  <c:v>8463</c:v>
                </c:pt>
                <c:pt idx="5">
                  <c:v>7151</c:v>
                </c:pt>
                <c:pt idx="6">
                  <c:v>7092</c:v>
                </c:pt>
                <c:pt idx="7">
                  <c:v>7733</c:v>
                </c:pt>
                <c:pt idx="8">
                  <c:v>6039</c:v>
                </c:pt>
                <c:pt idx="9">
                  <c:v>3497</c:v>
                </c:pt>
                <c:pt idx="10">
                  <c:v>12800</c:v>
                </c:pt>
                <c:pt idx="11">
                  <c:v>0</c:v>
                </c:pt>
                <c:pt idx="12">
                  <c:v>5753</c:v>
                </c:pt>
                <c:pt idx="13">
                  <c:v>6593</c:v>
                </c:pt>
                <c:pt idx="14">
                  <c:v>0</c:v>
                </c:pt>
                <c:pt idx="15">
                  <c:v>3925</c:v>
                </c:pt>
                <c:pt idx="16">
                  <c:v>4942</c:v>
                </c:pt>
                <c:pt idx="17">
                  <c:v>8530</c:v>
                </c:pt>
                <c:pt idx="18">
                  <c:v>0</c:v>
                </c:pt>
                <c:pt idx="19">
                  <c:v>16256</c:v>
                </c:pt>
                <c:pt idx="20">
                  <c:v>0</c:v>
                </c:pt>
                <c:pt idx="21">
                  <c:v>0</c:v>
                </c:pt>
                <c:pt idx="22">
                  <c:v>8687</c:v>
                </c:pt>
                <c:pt idx="23">
                  <c:v>9649</c:v>
                </c:pt>
                <c:pt idx="24">
                  <c:v>6384</c:v>
                </c:pt>
                <c:pt idx="25">
                  <c:v>0</c:v>
                </c:pt>
                <c:pt idx="26">
                  <c:v>0</c:v>
                </c:pt>
                <c:pt idx="27">
                  <c:v>6642</c:v>
                </c:pt>
                <c:pt idx="28">
                  <c:v>6275</c:v>
                </c:pt>
                <c:pt idx="29">
                  <c:v>0</c:v>
                </c:pt>
                <c:pt idx="30">
                  <c:v>3079</c:v>
                </c:pt>
                <c:pt idx="31">
                  <c:v>9202</c:v>
                </c:pt>
                <c:pt idx="32">
                  <c:v>7346</c:v>
                </c:pt>
                <c:pt idx="33">
                  <c:v>20155</c:v>
                </c:pt>
                <c:pt idx="34">
                  <c:v>11789</c:v>
                </c:pt>
                <c:pt idx="35">
                  <c:v>16086</c:v>
                </c:pt>
                <c:pt idx="36">
                  <c:v>1020</c:v>
                </c:pt>
                <c:pt idx="37">
                  <c:v>1290</c:v>
                </c:pt>
                <c:pt idx="38">
                  <c:v>0</c:v>
                </c:pt>
                <c:pt idx="39">
                  <c:v>6326</c:v>
                </c:pt>
                <c:pt idx="40">
                  <c:v>8723</c:v>
                </c:pt>
                <c:pt idx="41">
                  <c:v>0</c:v>
                </c:pt>
                <c:pt idx="42">
                  <c:v>0</c:v>
                </c:pt>
                <c:pt idx="43">
                  <c:v>6272</c:v>
                </c:pt>
                <c:pt idx="44">
                  <c:v>8319</c:v>
                </c:pt>
                <c:pt idx="45">
                  <c:v>0</c:v>
                </c:pt>
                <c:pt idx="46">
                  <c:v>7058</c:v>
                </c:pt>
                <c:pt idx="47">
                  <c:v>15937</c:v>
                </c:pt>
                <c:pt idx="48">
                  <c:v>0</c:v>
                </c:pt>
                <c:pt idx="49">
                  <c:v>7436</c:v>
                </c:pt>
              </c:numCache>
            </c:numRef>
          </c:val>
          <c:smooth val="0"/>
          <c:extLst>
            <c:ext xmlns:c16="http://schemas.microsoft.com/office/drawing/2014/chart" uri="{C3380CC4-5D6E-409C-BE32-E72D297353CC}">
              <c16:uniqueId val="{00000002-45B2-467C-9251-D65AF88A5840}"/>
            </c:ext>
          </c:extLst>
        </c:ser>
        <c:ser>
          <c:idx val="3"/>
          <c:order val="3"/>
          <c:tx>
            <c:strRef>
              <c:f>'Task 6.1 '!$E$3:$E$4</c:f>
              <c:strCache>
                <c:ptCount val="1"/>
                <c:pt idx="0">
                  <c:v>YouTube</c:v>
                </c:pt>
              </c:strCache>
            </c:strRef>
          </c:tx>
          <c:spPr>
            <a:ln w="28575" cap="rnd">
              <a:solidFill>
                <a:schemeClr val="accent4"/>
              </a:solidFill>
              <a:round/>
            </a:ln>
            <a:effectLst/>
          </c:spPr>
          <c:marker>
            <c:symbol val="none"/>
          </c:marker>
          <c:cat>
            <c:strRef>
              <c:f>'Task 6.1 '!$A$5:$A$55</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6.1 '!$E$5:$E$55</c:f>
              <c:numCache>
                <c:formatCode>General</c:formatCode>
                <c:ptCount val="50"/>
                <c:pt idx="0">
                  <c:v>15994</c:v>
                </c:pt>
                <c:pt idx="1">
                  <c:v>7478</c:v>
                </c:pt>
                <c:pt idx="2">
                  <c:v>0</c:v>
                </c:pt>
                <c:pt idx="3">
                  <c:v>8653</c:v>
                </c:pt>
                <c:pt idx="4">
                  <c:v>0</c:v>
                </c:pt>
                <c:pt idx="5">
                  <c:v>0</c:v>
                </c:pt>
                <c:pt idx="6">
                  <c:v>1826</c:v>
                </c:pt>
                <c:pt idx="7">
                  <c:v>9082</c:v>
                </c:pt>
                <c:pt idx="8">
                  <c:v>3445</c:v>
                </c:pt>
                <c:pt idx="9">
                  <c:v>2543</c:v>
                </c:pt>
                <c:pt idx="10">
                  <c:v>7033</c:v>
                </c:pt>
                <c:pt idx="11">
                  <c:v>9427</c:v>
                </c:pt>
                <c:pt idx="12">
                  <c:v>5303</c:v>
                </c:pt>
                <c:pt idx="13">
                  <c:v>0</c:v>
                </c:pt>
                <c:pt idx="14">
                  <c:v>11613</c:v>
                </c:pt>
                <c:pt idx="15">
                  <c:v>9308</c:v>
                </c:pt>
                <c:pt idx="16">
                  <c:v>0</c:v>
                </c:pt>
                <c:pt idx="17">
                  <c:v>0</c:v>
                </c:pt>
                <c:pt idx="18">
                  <c:v>10348</c:v>
                </c:pt>
                <c:pt idx="19">
                  <c:v>7115</c:v>
                </c:pt>
                <c:pt idx="20">
                  <c:v>6918</c:v>
                </c:pt>
                <c:pt idx="21">
                  <c:v>12442</c:v>
                </c:pt>
                <c:pt idx="22">
                  <c:v>3056</c:v>
                </c:pt>
                <c:pt idx="23">
                  <c:v>5220</c:v>
                </c:pt>
                <c:pt idx="24">
                  <c:v>0</c:v>
                </c:pt>
                <c:pt idx="25">
                  <c:v>5143</c:v>
                </c:pt>
                <c:pt idx="26">
                  <c:v>3929</c:v>
                </c:pt>
                <c:pt idx="27">
                  <c:v>4790</c:v>
                </c:pt>
                <c:pt idx="28">
                  <c:v>0</c:v>
                </c:pt>
                <c:pt idx="29">
                  <c:v>7328</c:v>
                </c:pt>
                <c:pt idx="30">
                  <c:v>0</c:v>
                </c:pt>
                <c:pt idx="31">
                  <c:v>8601</c:v>
                </c:pt>
                <c:pt idx="32">
                  <c:v>1001</c:v>
                </c:pt>
                <c:pt idx="33">
                  <c:v>7654</c:v>
                </c:pt>
                <c:pt idx="34">
                  <c:v>0</c:v>
                </c:pt>
                <c:pt idx="35">
                  <c:v>12447</c:v>
                </c:pt>
                <c:pt idx="36">
                  <c:v>0</c:v>
                </c:pt>
                <c:pt idx="37">
                  <c:v>0</c:v>
                </c:pt>
                <c:pt idx="38">
                  <c:v>15359</c:v>
                </c:pt>
                <c:pt idx="39">
                  <c:v>6631</c:v>
                </c:pt>
                <c:pt idx="40">
                  <c:v>3555</c:v>
                </c:pt>
                <c:pt idx="41">
                  <c:v>0</c:v>
                </c:pt>
                <c:pt idx="42">
                  <c:v>4189</c:v>
                </c:pt>
                <c:pt idx="43">
                  <c:v>1567</c:v>
                </c:pt>
                <c:pt idx="44">
                  <c:v>6434</c:v>
                </c:pt>
                <c:pt idx="45">
                  <c:v>0</c:v>
                </c:pt>
                <c:pt idx="46">
                  <c:v>0</c:v>
                </c:pt>
                <c:pt idx="47">
                  <c:v>0</c:v>
                </c:pt>
                <c:pt idx="48">
                  <c:v>5210</c:v>
                </c:pt>
                <c:pt idx="49">
                  <c:v>0</c:v>
                </c:pt>
              </c:numCache>
            </c:numRef>
          </c:val>
          <c:smooth val="0"/>
          <c:extLst>
            <c:ext xmlns:c16="http://schemas.microsoft.com/office/drawing/2014/chart" uri="{C3380CC4-5D6E-409C-BE32-E72D297353CC}">
              <c16:uniqueId val="{00000003-45B2-467C-9251-D65AF88A5840}"/>
            </c:ext>
          </c:extLst>
        </c:ser>
        <c:dLbls>
          <c:showLegendKey val="0"/>
          <c:showVal val="0"/>
          <c:showCatName val="0"/>
          <c:showSerName val="0"/>
          <c:showPercent val="0"/>
          <c:showBubbleSize val="0"/>
        </c:dLbls>
        <c:smooth val="0"/>
        <c:axId val="1987069728"/>
        <c:axId val="1987070688"/>
      </c:lineChart>
      <c:catAx>
        <c:axId val="1987069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Weeks</a:t>
                </a:r>
              </a:p>
            </c:rich>
          </c:tx>
          <c:layout>
            <c:manualLayout>
              <c:xMode val="edge"/>
              <c:yMode val="edge"/>
              <c:x val="0.45036227003506374"/>
              <c:y val="0.9342657212253442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070688"/>
        <c:crosses val="autoZero"/>
        <c:auto val="1"/>
        <c:lblAlgn val="ctr"/>
        <c:lblOffset val="100"/>
        <c:noMultiLvlLbl val="0"/>
      </c:catAx>
      <c:valAx>
        <c:axId val="198707068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Follower</a:t>
                </a:r>
                <a:r>
                  <a:rPr lang="en-IN" b="1" baseline="0"/>
                  <a:t> Growth</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06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[Project.xlsx]Task 6.3!PivotTable8</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Followers</a:t>
            </a:r>
            <a:r>
              <a:rPr lang="en-US" sz="1600" b="1" baseline="0"/>
              <a:t> Growth</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9633094452535"/>
          <c:y val="0.1365767501605652"/>
          <c:w val="0.65306568262039344"/>
          <c:h val="0.47216280045919118"/>
        </c:manualLayout>
      </c:layout>
      <c:lineChart>
        <c:grouping val="standard"/>
        <c:varyColors val="0"/>
        <c:ser>
          <c:idx val="0"/>
          <c:order val="0"/>
          <c:tx>
            <c:strRef>
              <c:f>'Task 6.3'!$B$4</c:f>
              <c:strCache>
                <c:ptCount val="1"/>
                <c:pt idx="0">
                  <c:v>Total</c:v>
                </c:pt>
              </c:strCache>
            </c:strRef>
          </c:tx>
          <c:spPr>
            <a:ln w="28575" cap="rnd">
              <a:solidFill>
                <a:srgbClr val="FFFF00"/>
              </a:solidFill>
              <a:round/>
            </a:ln>
            <a:effectLst/>
          </c:spPr>
          <c:marker>
            <c:symbol val="none"/>
          </c:marker>
          <c:trendline>
            <c:spPr>
              <a:ln w="19050" cap="rnd">
                <a:solidFill>
                  <a:schemeClr val="accent1"/>
                </a:solidFill>
                <a:prstDash val="sysDot"/>
              </a:ln>
              <a:effectLst/>
            </c:spPr>
            <c:trendlineType val="movingAvg"/>
            <c:period val="7"/>
            <c:dispRSqr val="0"/>
            <c:dispEq val="0"/>
          </c:trendline>
          <c:cat>
            <c:strRef>
              <c:f>'Task 6.3'!$A$5:$A$54</c:f>
              <c:strCache>
                <c:ptCount val="50"/>
                <c:pt idx="0">
                  <c:v>03-06-2024 - 09-06-2024</c:v>
                </c:pt>
                <c:pt idx="1">
                  <c:v>10-06-2024 - 16-06-2024</c:v>
                </c:pt>
                <c:pt idx="2">
                  <c:v>17-06-2024 - 23-06-2024</c:v>
                </c:pt>
                <c:pt idx="3">
                  <c:v>24-06-2024 - 30-06-2024</c:v>
                </c:pt>
                <c:pt idx="4">
                  <c:v>01-07-2024 - 07-07-2024</c:v>
                </c:pt>
                <c:pt idx="5">
                  <c:v>08-07-2024 - 14-07-2024</c:v>
                </c:pt>
                <c:pt idx="6">
                  <c:v>15-07-2024 - 21-07-2024</c:v>
                </c:pt>
                <c:pt idx="7">
                  <c:v>22-07-2024 - 28-07-2024</c:v>
                </c:pt>
                <c:pt idx="8">
                  <c:v>29-07-2024 - 04-08-2024</c:v>
                </c:pt>
                <c:pt idx="9">
                  <c:v>05-08-2024 - 11-08-2024</c:v>
                </c:pt>
                <c:pt idx="10">
                  <c:v>12-08-2024 - 18-08-2024</c:v>
                </c:pt>
                <c:pt idx="11">
                  <c:v>19-08-2024 - 25-08-2024</c:v>
                </c:pt>
                <c:pt idx="12">
                  <c:v>26-08-2024 - 01-09-2024</c:v>
                </c:pt>
                <c:pt idx="13">
                  <c:v>02-09-2024 - 08-09-2024</c:v>
                </c:pt>
                <c:pt idx="14">
                  <c:v>09-09-2024 - 15-09-2024</c:v>
                </c:pt>
                <c:pt idx="15">
                  <c:v>16-09-2024 - 22-09-2024</c:v>
                </c:pt>
                <c:pt idx="16">
                  <c:v>23-09-2024 - 29-09-2024</c:v>
                </c:pt>
                <c:pt idx="17">
                  <c:v>30-09-2024 - 06-10-2024</c:v>
                </c:pt>
                <c:pt idx="18">
                  <c:v>07-10-2024 - 13-10-2024</c:v>
                </c:pt>
                <c:pt idx="19">
                  <c:v>14-10-2024 - 20-10-2024</c:v>
                </c:pt>
                <c:pt idx="20">
                  <c:v>21-10-2024 - 27-10-2024</c:v>
                </c:pt>
                <c:pt idx="21">
                  <c:v>28-10-2024 - 03-11-2024</c:v>
                </c:pt>
                <c:pt idx="22">
                  <c:v>04-11-2024 - 10-11-2024</c:v>
                </c:pt>
                <c:pt idx="23">
                  <c:v>11-11-2024 - 17-11-2024</c:v>
                </c:pt>
                <c:pt idx="24">
                  <c:v>18-11-2024 - 24-11-2024</c:v>
                </c:pt>
                <c:pt idx="25">
                  <c:v>25-11-2024 - 01-12-2024</c:v>
                </c:pt>
                <c:pt idx="26">
                  <c:v>02-12-2024 - 08-12-2024</c:v>
                </c:pt>
                <c:pt idx="27">
                  <c:v>09-12-2024 - 15-12-2024</c:v>
                </c:pt>
                <c:pt idx="28">
                  <c:v>16-12-2024 - 22-12-2024</c:v>
                </c:pt>
                <c:pt idx="29">
                  <c:v>23-12-2024 - 29-12-2024</c:v>
                </c:pt>
                <c:pt idx="30">
                  <c:v>30-12-2024 - 05-01-2025</c:v>
                </c:pt>
                <c:pt idx="31">
                  <c:v>06-01-2025 - 12-01-2025</c:v>
                </c:pt>
                <c:pt idx="32">
                  <c:v>13-01-2025 - 19-01-2025</c:v>
                </c:pt>
                <c:pt idx="33">
                  <c:v>20-01-2025 - 26-01-2025</c:v>
                </c:pt>
                <c:pt idx="34">
                  <c:v>27-01-2025 - 02-02-2025</c:v>
                </c:pt>
                <c:pt idx="35">
                  <c:v>03-02-2025 - 09-02-2025</c:v>
                </c:pt>
                <c:pt idx="36">
                  <c:v>10-02-2025 - 16-02-2025</c:v>
                </c:pt>
                <c:pt idx="37">
                  <c:v>17-02-2025 - 23-02-2025</c:v>
                </c:pt>
                <c:pt idx="38">
                  <c:v>24-02-2025 - 02-03-2025</c:v>
                </c:pt>
                <c:pt idx="39">
                  <c:v>03-03-2025 - 09-03-2025</c:v>
                </c:pt>
                <c:pt idx="40">
                  <c:v>10-03-2025 - 16-03-2025</c:v>
                </c:pt>
                <c:pt idx="41">
                  <c:v>17-03-2025 - 23-03-2025</c:v>
                </c:pt>
                <c:pt idx="42">
                  <c:v>24-03-2025 - 30-03-2025</c:v>
                </c:pt>
                <c:pt idx="43">
                  <c:v>31-03-2025 - 06-04-2025</c:v>
                </c:pt>
                <c:pt idx="44">
                  <c:v>07-04-2025 - 13-04-2025</c:v>
                </c:pt>
                <c:pt idx="45">
                  <c:v>14-04-2025 - 20-04-2025</c:v>
                </c:pt>
                <c:pt idx="46">
                  <c:v>21-04-2025 - 27-04-2025</c:v>
                </c:pt>
                <c:pt idx="47">
                  <c:v>28-04-2025 - 04-05-2025</c:v>
                </c:pt>
                <c:pt idx="48">
                  <c:v>05-05-2025 - 11-05-2025</c:v>
                </c:pt>
                <c:pt idx="49">
                  <c:v>12-05-2025 - 13-05-2025</c:v>
                </c:pt>
              </c:strCache>
            </c:strRef>
          </c:cat>
          <c:val>
            <c:numRef>
              <c:f>'Task 6.3'!$B$5:$B$54</c:f>
              <c:numCache>
                <c:formatCode>General</c:formatCode>
                <c:ptCount val="50"/>
                <c:pt idx="0">
                  <c:v>27203</c:v>
                </c:pt>
                <c:pt idx="1">
                  <c:v>23062</c:v>
                </c:pt>
                <c:pt idx="2">
                  <c:v>25931</c:v>
                </c:pt>
                <c:pt idx="3">
                  <c:v>28622</c:v>
                </c:pt>
                <c:pt idx="4">
                  <c:v>19833</c:v>
                </c:pt>
                <c:pt idx="5">
                  <c:v>18529</c:v>
                </c:pt>
                <c:pt idx="6">
                  <c:v>13885</c:v>
                </c:pt>
                <c:pt idx="7">
                  <c:v>32218</c:v>
                </c:pt>
                <c:pt idx="8">
                  <c:v>17021</c:v>
                </c:pt>
                <c:pt idx="9">
                  <c:v>14100</c:v>
                </c:pt>
                <c:pt idx="10">
                  <c:v>26686</c:v>
                </c:pt>
                <c:pt idx="11">
                  <c:v>23262</c:v>
                </c:pt>
                <c:pt idx="12">
                  <c:v>20800</c:v>
                </c:pt>
                <c:pt idx="13">
                  <c:v>22217</c:v>
                </c:pt>
                <c:pt idx="14">
                  <c:v>25176</c:v>
                </c:pt>
                <c:pt idx="15">
                  <c:v>15432</c:v>
                </c:pt>
                <c:pt idx="16">
                  <c:v>17982</c:v>
                </c:pt>
                <c:pt idx="17">
                  <c:v>18434</c:v>
                </c:pt>
                <c:pt idx="18">
                  <c:v>17577</c:v>
                </c:pt>
                <c:pt idx="19">
                  <c:v>23371</c:v>
                </c:pt>
                <c:pt idx="20">
                  <c:v>30891</c:v>
                </c:pt>
                <c:pt idx="21">
                  <c:v>27254</c:v>
                </c:pt>
                <c:pt idx="22">
                  <c:v>16685</c:v>
                </c:pt>
                <c:pt idx="23">
                  <c:v>19751</c:v>
                </c:pt>
                <c:pt idx="24">
                  <c:v>21238</c:v>
                </c:pt>
                <c:pt idx="25">
                  <c:v>28625</c:v>
                </c:pt>
                <c:pt idx="26">
                  <c:v>18330</c:v>
                </c:pt>
                <c:pt idx="27">
                  <c:v>15842</c:v>
                </c:pt>
                <c:pt idx="28">
                  <c:v>19604</c:v>
                </c:pt>
                <c:pt idx="29">
                  <c:v>19183</c:v>
                </c:pt>
                <c:pt idx="30">
                  <c:v>23870</c:v>
                </c:pt>
                <c:pt idx="31">
                  <c:v>27057</c:v>
                </c:pt>
                <c:pt idx="32">
                  <c:v>18737</c:v>
                </c:pt>
                <c:pt idx="33">
                  <c:v>27809</c:v>
                </c:pt>
                <c:pt idx="34">
                  <c:v>22692</c:v>
                </c:pt>
                <c:pt idx="35">
                  <c:v>28533</c:v>
                </c:pt>
                <c:pt idx="36">
                  <c:v>13642</c:v>
                </c:pt>
                <c:pt idx="37">
                  <c:v>17859</c:v>
                </c:pt>
                <c:pt idx="38">
                  <c:v>30446</c:v>
                </c:pt>
                <c:pt idx="39">
                  <c:v>20389</c:v>
                </c:pt>
                <c:pt idx="40">
                  <c:v>17807</c:v>
                </c:pt>
                <c:pt idx="41">
                  <c:v>28020</c:v>
                </c:pt>
                <c:pt idx="42">
                  <c:v>25416</c:v>
                </c:pt>
                <c:pt idx="43">
                  <c:v>15627</c:v>
                </c:pt>
                <c:pt idx="44">
                  <c:v>20720</c:v>
                </c:pt>
                <c:pt idx="45">
                  <c:v>24995</c:v>
                </c:pt>
                <c:pt idx="46">
                  <c:v>22070</c:v>
                </c:pt>
                <c:pt idx="47">
                  <c:v>17449</c:v>
                </c:pt>
                <c:pt idx="48">
                  <c:v>16129</c:v>
                </c:pt>
                <c:pt idx="49">
                  <c:v>18387</c:v>
                </c:pt>
              </c:numCache>
            </c:numRef>
          </c:val>
          <c:smooth val="0"/>
          <c:extLst>
            <c:ext xmlns:c16="http://schemas.microsoft.com/office/drawing/2014/chart" uri="{C3380CC4-5D6E-409C-BE32-E72D297353CC}">
              <c16:uniqueId val="{00000001-532E-409E-AC6D-0485B854E5AF}"/>
            </c:ext>
          </c:extLst>
        </c:ser>
        <c:dLbls>
          <c:showLegendKey val="0"/>
          <c:showVal val="0"/>
          <c:showCatName val="0"/>
          <c:showSerName val="0"/>
          <c:showPercent val="0"/>
          <c:showBubbleSize val="0"/>
        </c:dLbls>
        <c:smooth val="0"/>
        <c:axId val="2146535743"/>
        <c:axId val="2146542463"/>
      </c:lineChart>
      <c:catAx>
        <c:axId val="2146535743"/>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Week</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42463"/>
        <c:crosses val="autoZero"/>
        <c:auto val="1"/>
        <c:lblAlgn val="ctr"/>
        <c:lblOffset val="100"/>
        <c:noMultiLvlLbl val="0"/>
      </c:catAx>
      <c:valAx>
        <c:axId val="2146542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Follower</a:t>
                </a:r>
                <a:r>
                  <a:rPr lang="en-IN" b="1" baseline="0"/>
                  <a: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3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Ad Spend Vs Follower</a:t>
            </a:r>
            <a:r>
              <a:rPr lang="en-IN" b="1" baseline="0"/>
              <a:t> Growth</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8109660994942947"/>
                  <c:y val="0.433070588985246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'Task 6.4'!$B$4:$B$53</c:f>
              <c:numCache>
                <c:formatCode>General</c:formatCode>
                <c:ptCount val="50"/>
                <c:pt idx="0">
                  <c:v>138117</c:v>
                </c:pt>
                <c:pt idx="1">
                  <c:v>150962</c:v>
                </c:pt>
                <c:pt idx="2">
                  <c:v>98040</c:v>
                </c:pt>
                <c:pt idx="3">
                  <c:v>164565</c:v>
                </c:pt>
                <c:pt idx="4">
                  <c:v>156343</c:v>
                </c:pt>
                <c:pt idx="5">
                  <c:v>111798</c:v>
                </c:pt>
                <c:pt idx="6">
                  <c:v>96330</c:v>
                </c:pt>
                <c:pt idx="7">
                  <c:v>165690</c:v>
                </c:pt>
                <c:pt idx="8">
                  <c:v>149979</c:v>
                </c:pt>
                <c:pt idx="9">
                  <c:v>137738</c:v>
                </c:pt>
                <c:pt idx="10">
                  <c:v>127141</c:v>
                </c:pt>
                <c:pt idx="11">
                  <c:v>131436</c:v>
                </c:pt>
                <c:pt idx="12">
                  <c:v>148731</c:v>
                </c:pt>
                <c:pt idx="13">
                  <c:v>138157</c:v>
                </c:pt>
                <c:pt idx="14">
                  <c:v>145141</c:v>
                </c:pt>
                <c:pt idx="15">
                  <c:v>157040</c:v>
                </c:pt>
                <c:pt idx="16">
                  <c:v>144544</c:v>
                </c:pt>
                <c:pt idx="17">
                  <c:v>91299</c:v>
                </c:pt>
                <c:pt idx="18">
                  <c:v>128380</c:v>
                </c:pt>
                <c:pt idx="19">
                  <c:v>147981</c:v>
                </c:pt>
                <c:pt idx="20">
                  <c:v>121620</c:v>
                </c:pt>
                <c:pt idx="21">
                  <c:v>181563</c:v>
                </c:pt>
                <c:pt idx="22">
                  <c:v>153596</c:v>
                </c:pt>
                <c:pt idx="23">
                  <c:v>167636</c:v>
                </c:pt>
                <c:pt idx="24">
                  <c:v>123864</c:v>
                </c:pt>
                <c:pt idx="25">
                  <c:v>196685</c:v>
                </c:pt>
                <c:pt idx="26">
                  <c:v>157140</c:v>
                </c:pt>
                <c:pt idx="27">
                  <c:v>125132</c:v>
                </c:pt>
                <c:pt idx="28">
                  <c:v>104342</c:v>
                </c:pt>
                <c:pt idx="29">
                  <c:v>142650</c:v>
                </c:pt>
                <c:pt idx="30">
                  <c:v>158939</c:v>
                </c:pt>
                <c:pt idx="31">
                  <c:v>163934</c:v>
                </c:pt>
                <c:pt idx="32">
                  <c:v>92334</c:v>
                </c:pt>
                <c:pt idx="33">
                  <c:v>143317</c:v>
                </c:pt>
                <c:pt idx="34">
                  <c:v>148558</c:v>
                </c:pt>
                <c:pt idx="35">
                  <c:v>71040</c:v>
                </c:pt>
                <c:pt idx="36">
                  <c:v>125547</c:v>
                </c:pt>
                <c:pt idx="37">
                  <c:v>123142</c:v>
                </c:pt>
                <c:pt idx="38">
                  <c:v>122105</c:v>
                </c:pt>
                <c:pt idx="39">
                  <c:v>117742</c:v>
                </c:pt>
                <c:pt idx="40">
                  <c:v>120558</c:v>
                </c:pt>
                <c:pt idx="41">
                  <c:v>195013</c:v>
                </c:pt>
                <c:pt idx="42">
                  <c:v>119089</c:v>
                </c:pt>
                <c:pt idx="43">
                  <c:v>160200</c:v>
                </c:pt>
                <c:pt idx="44">
                  <c:v>156785</c:v>
                </c:pt>
                <c:pt idx="45">
                  <c:v>143397</c:v>
                </c:pt>
                <c:pt idx="46">
                  <c:v>143322</c:v>
                </c:pt>
                <c:pt idx="47">
                  <c:v>130305</c:v>
                </c:pt>
                <c:pt idx="48">
                  <c:v>134696</c:v>
                </c:pt>
                <c:pt idx="49">
                  <c:v>153197</c:v>
                </c:pt>
              </c:numCache>
            </c:numRef>
          </c:xVal>
          <c:yVal>
            <c:numRef>
              <c:f>'Task 6.4'!$C$4:$C$53</c:f>
              <c:numCache>
                <c:formatCode>General</c:formatCode>
                <c:ptCount val="50"/>
                <c:pt idx="0">
                  <c:v>27203</c:v>
                </c:pt>
                <c:pt idx="1">
                  <c:v>23062</c:v>
                </c:pt>
                <c:pt idx="2">
                  <c:v>25931</c:v>
                </c:pt>
                <c:pt idx="3">
                  <c:v>28622</c:v>
                </c:pt>
                <c:pt idx="4">
                  <c:v>19833</c:v>
                </c:pt>
                <c:pt idx="5">
                  <c:v>18529</c:v>
                </c:pt>
                <c:pt idx="6">
                  <c:v>13885</c:v>
                </c:pt>
                <c:pt idx="7">
                  <c:v>32218</c:v>
                </c:pt>
                <c:pt idx="8">
                  <c:v>17021</c:v>
                </c:pt>
                <c:pt idx="9">
                  <c:v>14100</c:v>
                </c:pt>
                <c:pt idx="10">
                  <c:v>26686</c:v>
                </c:pt>
                <c:pt idx="11">
                  <c:v>23262</c:v>
                </c:pt>
                <c:pt idx="12">
                  <c:v>20800</c:v>
                </c:pt>
                <c:pt idx="13">
                  <c:v>22217</c:v>
                </c:pt>
                <c:pt idx="14">
                  <c:v>25176</c:v>
                </c:pt>
                <c:pt idx="15">
                  <c:v>15432</c:v>
                </c:pt>
                <c:pt idx="16">
                  <c:v>17982</c:v>
                </c:pt>
                <c:pt idx="17">
                  <c:v>18434</c:v>
                </c:pt>
                <c:pt idx="18">
                  <c:v>17577</c:v>
                </c:pt>
                <c:pt idx="19">
                  <c:v>23371</c:v>
                </c:pt>
                <c:pt idx="20">
                  <c:v>30891</c:v>
                </c:pt>
                <c:pt idx="21">
                  <c:v>27254</c:v>
                </c:pt>
                <c:pt idx="22">
                  <c:v>16685</c:v>
                </c:pt>
                <c:pt idx="23">
                  <c:v>19751</c:v>
                </c:pt>
                <c:pt idx="24">
                  <c:v>21238</c:v>
                </c:pt>
                <c:pt idx="25">
                  <c:v>28625</c:v>
                </c:pt>
                <c:pt idx="26">
                  <c:v>18330</c:v>
                </c:pt>
                <c:pt idx="27">
                  <c:v>15842</c:v>
                </c:pt>
                <c:pt idx="28">
                  <c:v>19604</c:v>
                </c:pt>
                <c:pt idx="29">
                  <c:v>19183</c:v>
                </c:pt>
                <c:pt idx="30">
                  <c:v>23870</c:v>
                </c:pt>
                <c:pt idx="31">
                  <c:v>27057</c:v>
                </c:pt>
                <c:pt idx="32">
                  <c:v>18737</c:v>
                </c:pt>
                <c:pt idx="33">
                  <c:v>27809</c:v>
                </c:pt>
                <c:pt idx="34">
                  <c:v>22692</c:v>
                </c:pt>
                <c:pt idx="35">
                  <c:v>28533</c:v>
                </c:pt>
                <c:pt idx="36">
                  <c:v>13642</c:v>
                </c:pt>
                <c:pt idx="37">
                  <c:v>17859</c:v>
                </c:pt>
                <c:pt idx="38">
                  <c:v>30446</c:v>
                </c:pt>
                <c:pt idx="39">
                  <c:v>20389</c:v>
                </c:pt>
                <c:pt idx="40">
                  <c:v>17807</c:v>
                </c:pt>
                <c:pt idx="41">
                  <c:v>28020</c:v>
                </c:pt>
                <c:pt idx="42">
                  <c:v>25416</c:v>
                </c:pt>
                <c:pt idx="43">
                  <c:v>15627</c:v>
                </c:pt>
                <c:pt idx="44">
                  <c:v>20720</c:v>
                </c:pt>
                <c:pt idx="45">
                  <c:v>24995</c:v>
                </c:pt>
                <c:pt idx="46">
                  <c:v>22070</c:v>
                </c:pt>
                <c:pt idx="47">
                  <c:v>17449</c:v>
                </c:pt>
                <c:pt idx="48">
                  <c:v>16129</c:v>
                </c:pt>
                <c:pt idx="49">
                  <c:v>18387</c:v>
                </c:pt>
              </c:numCache>
            </c:numRef>
          </c:yVal>
          <c:smooth val="0"/>
          <c:extLst>
            <c:ext xmlns:c16="http://schemas.microsoft.com/office/drawing/2014/chart" uri="{C3380CC4-5D6E-409C-BE32-E72D297353CC}">
              <c16:uniqueId val="{00000000-9772-426F-BDC5-6C44EAC9A408}"/>
            </c:ext>
          </c:extLst>
        </c:ser>
        <c:dLbls>
          <c:showLegendKey val="0"/>
          <c:showVal val="0"/>
          <c:showCatName val="0"/>
          <c:showSerName val="0"/>
          <c:showPercent val="0"/>
          <c:showBubbleSize val="0"/>
        </c:dLbls>
        <c:axId val="76999439"/>
        <c:axId val="517428815"/>
      </c:scatterChart>
      <c:valAx>
        <c:axId val="76999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Ad Spend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28815"/>
        <c:crosses val="autoZero"/>
        <c:crossBetween val="midCat"/>
      </c:valAx>
      <c:valAx>
        <c:axId val="51742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Follower</a:t>
                </a:r>
                <a:r>
                  <a:rPr lang="en-IN" b="1" baseline="0"/>
                  <a:t> Growth</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99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alpha val="9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7620</xdr:colOff>
      <xdr:row>3</xdr:row>
      <xdr:rowOff>7620</xdr:rowOff>
    </xdr:from>
    <xdr:to>
      <xdr:col>11</xdr:col>
      <xdr:colOff>22860</xdr:colOff>
      <xdr:row>19</xdr:row>
      <xdr:rowOff>60960</xdr:rowOff>
    </xdr:to>
    <xdr:graphicFrame macro="">
      <xdr:nvGraphicFramePr>
        <xdr:cNvPr id="2" name="Chart 1">
          <a:extLst>
            <a:ext uri="{FF2B5EF4-FFF2-40B4-BE49-F238E27FC236}">
              <a16:creationId xmlns:a16="http://schemas.microsoft.com/office/drawing/2014/main" id="{0FBA4BA0-E991-11EC-63BD-184A17841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6</xdr:row>
      <xdr:rowOff>129540</xdr:rowOff>
    </xdr:from>
    <xdr:to>
      <xdr:col>12</xdr:col>
      <xdr:colOff>0</xdr:colOff>
      <xdr:row>22</xdr:row>
      <xdr:rowOff>175260</xdr:rowOff>
    </xdr:to>
    <xdr:graphicFrame macro="">
      <xdr:nvGraphicFramePr>
        <xdr:cNvPr id="2" name="Chart 1">
          <a:extLst>
            <a:ext uri="{FF2B5EF4-FFF2-40B4-BE49-F238E27FC236}">
              <a16:creationId xmlns:a16="http://schemas.microsoft.com/office/drawing/2014/main" id="{F721B4DD-DAD6-C546-5487-FF91B834F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297180</xdr:colOff>
      <xdr:row>15</xdr:row>
      <xdr:rowOff>7620</xdr:rowOff>
    </xdr:from>
    <xdr:to>
      <xdr:col>18</xdr:col>
      <xdr:colOff>586740</xdr:colOff>
      <xdr:row>22</xdr:row>
      <xdr:rowOff>99060</xdr:rowOff>
    </xdr:to>
    <mc:AlternateContent xmlns:mc="http://schemas.openxmlformats.org/markup-compatibility/2006" xmlns:tsle="http://schemas.microsoft.com/office/drawing/2012/timeslicer">
      <mc:Choice Requires="tsle">
        <xdr:graphicFrame macro="">
          <xdr:nvGraphicFramePr>
            <xdr:cNvPr id="3" name="Week_Start_Date">
              <a:extLst>
                <a:ext uri="{FF2B5EF4-FFF2-40B4-BE49-F238E27FC236}">
                  <a16:creationId xmlns:a16="http://schemas.microsoft.com/office/drawing/2014/main" id="{79E4BDBC-3475-4B1F-AEFB-3136C450ECF8}"/>
                </a:ext>
              </a:extLst>
            </xdr:cNvPr>
            <xdr:cNvGraphicFramePr/>
          </xdr:nvGraphicFramePr>
          <xdr:xfrm>
            <a:off x="0" y="0"/>
            <a:ext cx="0" cy="0"/>
          </xdr:xfrm>
          <a:graphic>
            <a:graphicData uri="http://schemas.microsoft.com/office/drawing/2012/timeslicer">
              <tsle:timeslicer name="Week_Start_Date"/>
            </a:graphicData>
          </a:graphic>
        </xdr:graphicFrame>
      </mc:Choice>
      <mc:Fallback xmlns="">
        <xdr:sp macro="" textlink="">
          <xdr:nvSpPr>
            <xdr:cNvPr id="0" name=""/>
            <xdr:cNvSpPr>
              <a:spLocks noTextEdit="1"/>
            </xdr:cNvSpPr>
          </xdr:nvSpPr>
          <xdr:spPr>
            <a:xfrm>
              <a:off x="9105900" y="27660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3</xdr:row>
      <xdr:rowOff>0</xdr:rowOff>
    </xdr:from>
    <xdr:to>
      <xdr:col>13</xdr:col>
      <xdr:colOff>175260</xdr:colOff>
      <xdr:row>19</xdr:row>
      <xdr:rowOff>121920</xdr:rowOff>
    </xdr:to>
    <xdr:graphicFrame macro="">
      <xdr:nvGraphicFramePr>
        <xdr:cNvPr id="3" name="Chart 2">
          <a:extLst>
            <a:ext uri="{FF2B5EF4-FFF2-40B4-BE49-F238E27FC236}">
              <a16:creationId xmlns:a16="http://schemas.microsoft.com/office/drawing/2014/main" id="{7497E686-7F3F-7C6C-5CB0-20B8D15FD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556260</xdr:colOff>
      <xdr:row>3</xdr:row>
      <xdr:rowOff>1</xdr:rowOff>
    </xdr:from>
    <xdr:to>
      <xdr:col>15</xdr:col>
      <xdr:colOff>601134</xdr:colOff>
      <xdr:row>28</xdr:row>
      <xdr:rowOff>67735</xdr:rowOff>
    </xdr:to>
    <xdr:graphicFrame macro="">
      <xdr:nvGraphicFramePr>
        <xdr:cNvPr id="3" name="Chart 2">
          <a:extLst>
            <a:ext uri="{FF2B5EF4-FFF2-40B4-BE49-F238E27FC236}">
              <a16:creationId xmlns:a16="http://schemas.microsoft.com/office/drawing/2014/main" id="{E77419ED-F703-FA84-7BC0-357982602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845820</xdr:colOff>
      <xdr:row>6</xdr:row>
      <xdr:rowOff>45720</xdr:rowOff>
    </xdr:from>
    <xdr:to>
      <xdr:col>6</xdr:col>
      <xdr:colOff>213360</xdr:colOff>
      <xdr:row>23</xdr:row>
      <xdr:rowOff>137160</xdr:rowOff>
    </xdr:to>
    <xdr:graphicFrame macro="">
      <xdr:nvGraphicFramePr>
        <xdr:cNvPr id="3" name="Chart 2">
          <a:extLst>
            <a:ext uri="{FF2B5EF4-FFF2-40B4-BE49-F238E27FC236}">
              <a16:creationId xmlns:a16="http://schemas.microsoft.com/office/drawing/2014/main" id="{1B93153B-1559-25AE-8629-A4802F395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579120</xdr:colOff>
      <xdr:row>5</xdr:row>
      <xdr:rowOff>19050</xdr:rowOff>
    </xdr:from>
    <xdr:to>
      <xdr:col>14</xdr:col>
      <xdr:colOff>571500</xdr:colOff>
      <xdr:row>22</xdr:row>
      <xdr:rowOff>38100</xdr:rowOff>
    </xdr:to>
    <xdr:graphicFrame macro="">
      <xdr:nvGraphicFramePr>
        <xdr:cNvPr id="2" name="Chart 1">
          <a:extLst>
            <a:ext uri="{FF2B5EF4-FFF2-40B4-BE49-F238E27FC236}">
              <a16:creationId xmlns:a16="http://schemas.microsoft.com/office/drawing/2014/main" id="{149AA8D2-D77E-30F2-9D45-1B5B8796D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11430</xdr:rowOff>
    </xdr:from>
    <xdr:to>
      <xdr:col>3</xdr:col>
      <xdr:colOff>777240</xdr:colOff>
      <xdr:row>28</xdr:row>
      <xdr:rowOff>30480</xdr:rowOff>
    </xdr:to>
    <xdr:graphicFrame macro="">
      <xdr:nvGraphicFramePr>
        <xdr:cNvPr id="2" name="Chart 1">
          <a:extLst>
            <a:ext uri="{FF2B5EF4-FFF2-40B4-BE49-F238E27FC236}">
              <a16:creationId xmlns:a16="http://schemas.microsoft.com/office/drawing/2014/main" id="{F382D43A-F76C-54F4-413D-7DC22F90B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1760220</xdr:colOff>
      <xdr:row>9</xdr:row>
      <xdr:rowOff>171450</xdr:rowOff>
    </xdr:from>
    <xdr:to>
      <xdr:col>12</xdr:col>
      <xdr:colOff>243840</xdr:colOff>
      <xdr:row>28</xdr:row>
      <xdr:rowOff>0</xdr:rowOff>
    </xdr:to>
    <xdr:graphicFrame macro="">
      <xdr:nvGraphicFramePr>
        <xdr:cNvPr id="3" name="Chart 2">
          <a:extLst>
            <a:ext uri="{FF2B5EF4-FFF2-40B4-BE49-F238E27FC236}">
              <a16:creationId xmlns:a16="http://schemas.microsoft.com/office/drawing/2014/main" id="{10BD0CF0-48F1-F639-7306-B816BB02C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598560</xdr:colOff>
      <xdr:row>9</xdr:row>
      <xdr:rowOff>139959</xdr:rowOff>
    </xdr:from>
    <xdr:to>
      <xdr:col>25</xdr:col>
      <xdr:colOff>108857</xdr:colOff>
      <xdr:row>38</xdr:row>
      <xdr:rowOff>155511</xdr:rowOff>
    </xdr:to>
    <xdr:graphicFrame macro="">
      <xdr:nvGraphicFramePr>
        <xdr:cNvPr id="2" name="Chart 1">
          <a:extLst>
            <a:ext uri="{FF2B5EF4-FFF2-40B4-BE49-F238E27FC236}">
              <a16:creationId xmlns:a16="http://schemas.microsoft.com/office/drawing/2014/main" id="{2F0E3778-9ABC-F57D-5917-07C4168F7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3</xdr:row>
      <xdr:rowOff>60960</xdr:rowOff>
    </xdr:from>
    <xdr:to>
      <xdr:col>16</xdr:col>
      <xdr:colOff>15240</xdr:colOff>
      <xdr:row>29</xdr:row>
      <xdr:rowOff>53340</xdr:rowOff>
    </xdr:to>
    <xdr:graphicFrame macro="">
      <xdr:nvGraphicFramePr>
        <xdr:cNvPr id="4" name="Chart 3">
          <a:extLst>
            <a:ext uri="{FF2B5EF4-FFF2-40B4-BE49-F238E27FC236}">
              <a16:creationId xmlns:a16="http://schemas.microsoft.com/office/drawing/2014/main" id="{CBF06774-B0DA-C493-BD76-75BC3337D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26670</xdr:colOff>
      <xdr:row>3</xdr:row>
      <xdr:rowOff>171450</xdr:rowOff>
    </xdr:from>
    <xdr:to>
      <xdr:col>14</xdr:col>
      <xdr:colOff>15240</xdr:colOff>
      <xdr:row>23</xdr:row>
      <xdr:rowOff>121920</xdr:rowOff>
    </xdr:to>
    <xdr:graphicFrame macro="">
      <xdr:nvGraphicFramePr>
        <xdr:cNvPr id="4" name="Chart 3">
          <a:extLst>
            <a:ext uri="{FF2B5EF4-FFF2-40B4-BE49-F238E27FC236}">
              <a16:creationId xmlns:a16="http://schemas.microsoft.com/office/drawing/2014/main" id="{4342FA41-FDE9-E936-E814-FF18BBEA4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3.130747916664" createdVersion="8" refreshedVersion="8" minRefreshableVersion="3" recordCount="200" xr:uid="{327176FB-D94E-480C-AAC8-4BC8605A2E06}">
  <cacheSource type="worksheet">
    <worksheetSource ref="A1:G201" sheet="Engagement Summary"/>
  </cacheSource>
  <cacheFields count="9">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8"/>
    </cacheField>
    <cacheField name="Platform" numFmtId="0">
      <sharedItems count="4">
        <s v="Instagram"/>
        <s v="Twitter"/>
        <s v="YouTube"/>
        <s v="LinkedIn"/>
      </sharedItems>
    </cacheField>
    <cacheField name="New_Followers" numFmtId="0">
      <sharedItems containsSemiMixedTypes="0" containsString="0" containsNumber="1" containsInteger="1" minValue="1016" maxValue="9984"/>
    </cacheField>
    <cacheField name="Unfollows" numFmtId="0">
      <sharedItems containsSemiMixedTypes="0" containsString="0" containsNumber="1" containsInteger="1" minValue="67" maxValue="1417"/>
    </cacheField>
    <cacheField name="Total_Followers" numFmtId="0">
      <sharedItems containsSemiMixedTypes="0" containsString="0" containsNumber="1" containsInteger="1" minValue="103777" maxValue="1186398"/>
    </cacheField>
    <cacheField name="Engagement_Rate" numFmtId="0">
      <sharedItems containsSemiMixedTypes="0" containsString="0" containsNumber="1" minValue="1.381177897889402" maxValue="92.312204605638044"/>
    </cacheField>
    <cacheField name="Ad_Spend" numFmtId="0">
      <sharedItems containsSemiMixedTypes="0" containsString="0" containsNumber="1" containsInteger="1" minValue="10161" maxValue="59823"/>
    </cacheField>
    <cacheField name="Growth Rate" numFmtId="0" formula="New_Followers-Unfollows" databaseField="0"/>
    <cacheField name="Days (Week_Start_Date)" numFmtId="0" databaseField="0">
      <fieldGroup base="0">
        <rangePr groupBy="days" startDate="2024-06-03T00:00:00" endDate="2025-05-13T00:00:00" groupInterval="7"/>
        <groupItems count="52">
          <s v="&lt;03-06-2024"/>
          <s v="03-06-2024 - 09-06-2024"/>
          <s v="10-06-2024 - 16-06-2024"/>
          <s v="17-06-2024 - 23-06-2024"/>
          <s v="24-06-2024 - 30-06-2024"/>
          <s v="01-07-2024 - 07-07-2024"/>
          <s v="08-07-2024 - 14-07-2024"/>
          <s v="15-07-2024 - 21-07-2024"/>
          <s v="22-07-2024 - 28-07-2024"/>
          <s v="29-07-2024 - 04-08-2024"/>
          <s v="05-08-2024 - 11-08-2024"/>
          <s v="12-08-2024 - 18-08-2024"/>
          <s v="19-08-2024 - 25-08-2024"/>
          <s v="26-08-2024 - 01-09-2024"/>
          <s v="02-09-2024 - 08-09-2024"/>
          <s v="09-09-2024 - 15-09-2024"/>
          <s v="16-09-2024 - 22-09-2024"/>
          <s v="23-09-2024 - 29-09-2024"/>
          <s v="30-09-2024 - 06-10-2024"/>
          <s v="07-10-2024 - 13-10-2024"/>
          <s v="14-10-2024 - 20-10-2024"/>
          <s v="21-10-2024 - 27-10-2024"/>
          <s v="28-10-2024 - 03-11-2024"/>
          <s v="04-11-2024 - 10-11-2024"/>
          <s v="11-11-2024 - 17-11-2024"/>
          <s v="18-11-2024 - 24-11-2024"/>
          <s v="25-11-2024 - 01-12-2024"/>
          <s v="02-12-2024 - 08-12-2024"/>
          <s v="09-12-2024 - 15-12-2024"/>
          <s v="16-12-2024 - 22-12-2024"/>
          <s v="23-12-2024 - 29-12-2024"/>
          <s v="30-12-2024 - 05-01-2025"/>
          <s v="06-01-2025 - 12-01-2025"/>
          <s v="13-01-2025 - 19-01-2025"/>
          <s v="20-01-2025 - 26-01-2025"/>
          <s v="27-01-2025 - 02-02-2025"/>
          <s v="03-02-2025 - 09-02-2025"/>
          <s v="10-02-2025 - 16-02-2025"/>
          <s v="17-02-2025 - 23-02-2025"/>
          <s v="24-02-2025 - 02-03-2025"/>
          <s v="03-03-2025 - 09-03-2025"/>
          <s v="10-03-2025 - 16-03-2025"/>
          <s v="17-03-2025 - 23-03-2025"/>
          <s v="24-03-2025 - 30-03-2025"/>
          <s v="31-03-2025 - 06-04-2025"/>
          <s v="07-04-2025 - 13-04-2025"/>
          <s v="14-04-2025 - 20-04-2025"/>
          <s v="21-04-2025 - 27-04-2025"/>
          <s v="28-04-2025 - 04-05-2025"/>
          <s v="05-05-2025 - 11-05-2025"/>
          <s v="12-05-2025 - 13-05-2025"/>
          <s v="&gt;13-05-2025"/>
        </groupItems>
      </fieldGroup>
    </cacheField>
  </cacheFields>
  <extLst>
    <ext xmlns:x14="http://schemas.microsoft.com/office/spreadsheetml/2009/9/main" uri="{725AE2AE-9491-48be-B2B4-4EB974FC3084}">
      <x14:pivotCacheDefinition pivotCacheId="2251550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6.008685995374" createdVersion="8" refreshedVersion="8" minRefreshableVersion="3" recordCount="200" xr:uid="{D3A98D69-E36C-4555-B8BA-EBC7AEC91D7A}">
  <cacheSource type="worksheet">
    <worksheetSource ref="A1:H201" sheet="Engagement Summary"/>
  </cacheSource>
  <cacheFields count="9">
    <cacheField name="Week_Start_Date" numFmtId="14">
      <sharedItems containsSemiMixedTypes="0" containsNonDate="0" containsDate="1" containsString="0" minDate="2024-06-03T00:00:00" maxDate="2025-05-13T00:00:00"/>
    </cacheField>
    <cacheField name="Platform" numFmtId="0">
      <sharedItems/>
    </cacheField>
    <cacheField name="New_Followers" numFmtId="0">
      <sharedItems containsSemiMixedTypes="0" containsString="0" containsNumber="1" containsInteger="1" minValue="1016" maxValue="9984"/>
    </cacheField>
    <cacheField name="Unfollows" numFmtId="0">
      <sharedItems containsSemiMixedTypes="0" containsString="0" containsNumber="1" containsInteger="1" minValue="67" maxValue="1417"/>
    </cacheField>
    <cacheField name="Total_Followers" numFmtId="0">
      <sharedItems containsSemiMixedTypes="0" containsString="0" containsNumber="1" containsInteger="1" minValue="103777" maxValue="1186398"/>
    </cacheField>
    <cacheField name="Engagement_Rate" numFmtId="0">
      <sharedItems containsSemiMixedTypes="0" containsString="0" containsNumber="1" minValue="1.381177897889402" maxValue="92.312204605638044"/>
    </cacheField>
    <cacheField name="Ad_Spend" numFmtId="0">
      <sharedItems containsSemiMixedTypes="0" containsString="0" containsNumber="1" containsInteger="1" minValue="10161" maxValue="59823"/>
    </cacheField>
    <cacheField name="Campaign" numFmtId="0">
      <sharedItems count="5">
        <s v="No Campaign"/>
        <s v="iPhone 16 Launch"/>
        <s v="MacBook Air M3 Campaign"/>
        <s v="Apple Watch Ultra 2 Launch"/>
        <s v="Sustainability Awareness Drive"/>
      </sharedItems>
    </cacheField>
    <cacheField name="Follower Growth" numFmtId="0" formula="New_Followers-Unfollows"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48032406" createdVersion="8" refreshedVersion="8" minRefreshableVersion="3" recordCount="0" supportSubquery="1" supportAdvancedDrill="1" xr:uid="{6CD72009-DBB4-4D47-80BC-5FC45B240C36}">
  <cacheSource type="external" connectionId="4"/>
  <cacheFields count="2">
    <cacheField name="[Posts].[ContentType].[ContentType]" caption="ContentType" numFmtId="0" hierarchy="17" level="1">
      <sharedItems count="3">
        <s v="Carousel"/>
        <s v="Image"/>
        <s v="Video"/>
      </sharedItems>
    </cacheField>
    <cacheField name="[Measures].[Average of Engagement Rate]" caption="Average of Engagement Rate" numFmtId="0" hierarchy="34"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2" memberValueDatatype="130" unbalanced="0">
      <fieldsUsage count="2">
        <fieldUsage x="-1"/>
        <fieldUsage x="0"/>
      </fieldsUsage>
    </cacheHierarchy>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oneField="1">
      <fieldsUsage count="1">
        <fieldUsage x="1"/>
      </fieldsUsage>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49074076" createdVersion="8" refreshedVersion="8" minRefreshableVersion="3" recordCount="0" supportSubquery="1" supportAdvancedDrill="1" xr:uid="{62DA8ABE-F12D-4A02-A9D0-0FCB4598DF85}">
  <cacheSource type="external" connectionId="4"/>
  <cacheFields count="2">
    <cacheField name="[Posts].[Hashtags].[Hashtags]" caption="Hashtags" numFmtId="0" hierarchy="18" level="1">
      <sharedItems count="19">
        <s v="#AppleDesign"/>
        <s v="#AppleEarth"/>
        <s v="#AppleEvent"/>
        <s v="#AppleInnovation"/>
        <s v="#AppleLifestyle"/>
        <s v="#AppleMusic"/>
        <s v="#AppleWatch"/>
        <s v="#AppleWatchUltra2"/>
        <s v="#Health"/>
        <s v="#HealthTech"/>
        <s v="#Innovation"/>
        <s v="#iPadPro"/>
        <s v="#iPhone16"/>
        <s v="#iPhone16Launch"/>
        <s v="#iPhonePhotography"/>
        <s v="#MacBookAirM3"/>
        <s v="#MacBookProM3"/>
        <s v="#ShotOniPhone"/>
        <s v="#Sustainability"/>
      </sharedItems>
    </cacheField>
    <cacheField name="[Measures].[Average of Engagement Rate]" caption="Average of Engagement Rate" numFmtId="0" hierarchy="34"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2" memberValueDatatype="130" unbalanced="0">
      <fieldsUsage count="2">
        <fieldUsage x="-1"/>
        <fieldUsage x="0"/>
      </fieldsUsage>
    </cacheHierarchy>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oneField="1">
      <fieldsUsage count="1">
        <fieldUsage x="1"/>
      </fieldsUsage>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50231485" createdVersion="8" refreshedVersion="8" minRefreshableVersion="3" recordCount="0" supportSubquery="1" supportAdvancedDrill="1" xr:uid="{147D4276-9766-4BDC-92E9-A6F97B730091}">
  <cacheSource type="external" connectionId="4"/>
  <cacheFields count="5">
    <cacheField name="[Posts].[ContentType].[ContentType]" caption="ContentType" numFmtId="0" hierarchy="17" level="1">
      <sharedItems count="4">
        <s v="Carousel"/>
        <s v="Image"/>
        <s v="Tweet"/>
        <s v="Video"/>
      </sharedItems>
    </cacheField>
    <cacheField name="[Posts].[Platform].[Platform]" caption="Platform" numFmtId="0" hierarchy="15" level="1">
      <sharedItems count="4">
        <s v="Instagram"/>
        <s v="LinkedIn"/>
        <s v="Twitter"/>
        <s v="YouTube"/>
      </sharedItems>
    </cacheField>
    <cacheField name="[Measures].[Sum of Likes]" caption="Sum of Likes" numFmtId="0" hierarchy="32" level="32767"/>
    <cacheField name="[Measures].[Sum of Shares]" caption="Sum of Shares" numFmtId="0" hierarchy="30" level="32767"/>
    <cacheField name="[Measures].[Sum of Comments]" caption="Sum of Comments" numFmtId="0" hierarchy="31"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2" memberValueDatatype="130" unbalanced="0">
      <fieldsUsage count="2">
        <fieldUsage x="-1"/>
        <fieldUsage x="1"/>
      </fieldsUsage>
    </cacheHierarchy>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2" memberValueDatatype="130" unbalanced="0">
      <fieldsUsage count="2">
        <fieldUsage x="-1"/>
        <fieldUsage x="0"/>
      </fieldsUsage>
    </cacheHierarchy>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oneField="1">
      <fieldsUsage count="1">
        <fieldUsage x="3"/>
      </fieldsUsage>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oneField="1">
      <fieldsUsage count="1">
        <fieldUsage x="4"/>
      </fieldsUsage>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oneField="1">
      <fieldsUsage count="1">
        <fieldUsage x="2"/>
      </fieldsUsage>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53356479" createdVersion="8" refreshedVersion="8" minRefreshableVersion="3" recordCount="0" supportSubquery="1" supportAdvancedDrill="1" xr:uid="{9C1B5802-7324-4067-81A0-7F440F74AD99}">
  <cacheSource type="external" connectionId="4"/>
  <cacheFields count="3">
    <cacheField name="[Posts].[ContentType].[ContentType]" caption="ContentType" numFmtId="0" hierarchy="17" level="1">
      <sharedItems count="4">
        <s v="Carousel"/>
        <s v="Image"/>
        <s v="Tweet"/>
        <s v="Video"/>
      </sharedItems>
    </cacheField>
    <cacheField name="[Posts].[Platform].[Platform]" caption="Platform" numFmtId="0" hierarchy="15" level="1">
      <sharedItems count="4">
        <s v="Instagram"/>
        <s v="LinkedIn"/>
        <s v="Twitter"/>
        <s v="YouTube"/>
      </sharedItems>
    </cacheField>
    <cacheField name="[Measures].[Average of Engagement Rate]" caption="Average of Engagement Rate" numFmtId="0" hierarchy="34"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2" memberValueDatatype="130" unbalanced="0">
      <fieldsUsage count="2">
        <fieldUsage x="-1"/>
        <fieldUsage x="1"/>
      </fieldsUsage>
    </cacheHierarchy>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2" memberValueDatatype="130" unbalanced="0">
      <fieldsUsage count="2">
        <fieldUsage x="-1"/>
        <fieldUsage x="0"/>
      </fieldsUsage>
    </cacheHierarchy>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oneField="1">
      <fieldsUsage count="1">
        <fieldUsage x="2"/>
      </fieldsUsage>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56481481" createdVersion="8" refreshedVersion="8" minRefreshableVersion="3" recordCount="0" supportSubquery="1" supportAdvancedDrill="1" xr:uid="{2F7F0F25-239C-48B9-8EB0-9A6CA7DC4B51}">
  <cacheSource type="external" connectionId="4"/>
  <cacheFields count="2">
    <cacheField name="[Posts].[PostID].[PostID]" caption="PostID" numFmtId="0" hierarchy="14" level="1">
      <sharedItems count="10">
        <s v="A121"/>
        <s v="A123"/>
        <s v="A127"/>
        <s v="A13"/>
        <s v="A185"/>
        <s v="A201"/>
        <s v="A226"/>
        <s v="A231"/>
        <s v="A287"/>
        <s v="A82"/>
      </sharedItems>
    </cacheField>
    <cacheField name="[Measures].[Average of Engagement Rate]" caption="Average of Engagement Rate" numFmtId="0" hierarchy="34"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2" memberValueDatatype="130" unbalanced="0">
      <fieldsUsage count="2">
        <fieldUsage x="-1"/>
        <fieldUsage x="0"/>
      </fieldsUsage>
    </cacheHierarchy>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oneField="1">
      <fieldsUsage count="1">
        <fieldUsage x="1"/>
      </fieldsUsage>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6.98085763889" createdVersion="5" refreshedVersion="8" minRefreshableVersion="3" recordCount="0" supportSubquery="1" supportAdvancedDrill="1" xr:uid="{FCDC6A14-C56E-4F7E-8ACB-51368C56F7A5}">
  <cacheSource type="external" connectionId="4"/>
  <cacheFields count="2">
    <cacheField name="[Posts].[Hashtags].[Hashtags]" caption="Hashtags" numFmtId="0" hierarchy="18" level="1">
      <sharedItems count="19">
        <s v="#AppleDesign"/>
        <s v="#AppleEarth"/>
        <s v="#AppleEvent"/>
        <s v="#AppleInnovation"/>
        <s v="#AppleLifestyle"/>
        <s v="#AppleMusic"/>
        <s v="#AppleWatch"/>
        <s v="#AppleWatchUltra2"/>
        <s v="#Health"/>
        <s v="#HealthTech"/>
        <s v="#Innovation"/>
        <s v="#iPadPro"/>
        <s v="#iPhone16"/>
        <s v="#iPhone16Launch"/>
        <s v="#iPhonePhotography"/>
        <s v="#MacBookAirM3"/>
        <s v="#MacBookProM3"/>
        <s v="#ShotOniPhone"/>
        <s v="#Sustainability"/>
      </sharedItems>
    </cacheField>
    <cacheField name="[Measures].[Average of Clicks]" caption="Average of Clicks" numFmtId="0" hierarchy="29"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2" memberValueDatatype="130" unbalanced="0">
      <fieldsUsage count="2">
        <fieldUsage x="-1"/>
        <fieldUsage x="0"/>
      </fieldsUsage>
    </cacheHierarchy>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oneField="1">
      <fieldsUsage count="1">
        <fieldUsage x="1"/>
      </fieldsUsage>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7.633929745367" createdVersion="8" refreshedVersion="8" minRefreshableVersion="3" recordCount="0" supportSubquery="1" supportAdvancedDrill="1" xr:uid="{157475D5-86EC-4F26-888E-0C9AACEA4D41}">
  <cacheSource type="external" connectionId="4"/>
  <cacheFields count="2">
    <cacheField name="[Engagement Summary].[Platform].[Platform]" caption="Platform" numFmtId="0" hierarchy="8" level="1">
      <sharedItems count="4">
        <s v="Instagram"/>
        <s v="LinkedIn"/>
        <s v="Twitter"/>
        <s v="YouTube"/>
      </sharedItems>
    </cacheField>
    <cacheField name="[Measures].[Average of Engagement_Rate]" caption="Average of Engagement_Rate" numFmtId="0" hierarchy="45"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2" memberValueDatatype="130" unbalanced="0">
      <fieldsUsage count="2">
        <fieldUsage x="-1"/>
        <fieldUsage x="0"/>
      </fieldsUsage>
    </cacheHierarchy>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2"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oneField="1">
      <fieldsUsage count="1">
        <fieldUsage x="1"/>
      </fieldsUsage>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7.641349074074" createdVersion="8" refreshedVersion="8" minRefreshableVersion="3" recordCount="0" supportSubquery="1" supportAdvancedDrill="1" xr:uid="{E49CA565-2894-4856-85FA-03C271CDB2DA}">
  <cacheSource type="external" connectionId="4"/>
  <cacheFields count="3">
    <cacheField name="[Engagement Summary].[Platform].[Platform]" caption="Platform" numFmtId="0" hierarchy="8" level="1">
      <sharedItems count="4">
        <s v="Instagram"/>
        <s v="LinkedIn"/>
        <s v="Twitter"/>
        <s v="YouTube"/>
      </sharedItems>
    </cacheField>
    <cacheField name="[Measures].[Sum of Engagement_Rate]" caption="Sum of Engagement_Rate" numFmtId="0" hierarchy="40" level="32767"/>
    <cacheField name="[Measures].[Sum of Ad_Spend]" caption="Sum of Ad_Spend" numFmtId="0" hierarchy="46"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2" memberValueDatatype="130" unbalanced="0">
      <fieldsUsage count="2">
        <fieldUsage x="-1"/>
        <fieldUsage x="0"/>
      </fieldsUsage>
    </cacheHierarchy>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0" memberValueDatatype="130" unbalanced="0"/>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oneField="1">
      <fieldsUsage count="1">
        <fieldUsage x="1"/>
      </fieldsUsage>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oneField="1">
      <fieldsUsage count="1">
        <fieldUsage x="2"/>
      </fieldsUsage>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77.648871064812" createdVersion="8" refreshedVersion="8" minRefreshableVersion="3" recordCount="0" supportSubquery="1" supportAdvancedDrill="1" xr:uid="{7D1D5F71-DB55-43B6-AAF2-2AE39270E23A}">
  <cacheSource type="external" connectionId="4"/>
  <cacheFields count="2">
    <cacheField name="[Posts].[Hashtags].[Hashtags]" caption="Hashtags" numFmtId="0" hierarchy="18" level="1">
      <sharedItems count="19">
        <s v="#AppleDesign"/>
        <s v="#AppleEarth"/>
        <s v="#AppleEvent"/>
        <s v="#AppleInnovation"/>
        <s v="#AppleLifestyle"/>
        <s v="#AppleMusic"/>
        <s v="#AppleWatch"/>
        <s v="#AppleWatchUltra2"/>
        <s v="#Health"/>
        <s v="#HealthTech"/>
        <s v="#Innovation"/>
        <s v="#iPadPro"/>
        <s v="#iPhone16"/>
        <s v="#iPhone16Launch"/>
        <s v="#iPhonePhotography"/>
        <s v="#MacBookAirM3"/>
        <s v="#MacBookProM3"/>
        <s v="#ShotOniPhone"/>
        <s v="#Sustainability"/>
      </sharedItems>
    </cacheField>
    <cacheField name="[Measures].[Count of Hashtags]" caption="Count of Hashtags" numFmtId="0" hierarchy="49" level="32767"/>
  </cacheFields>
  <cacheHierarchies count="57">
    <cacheHierarchy uniqueName="[Campaign Metadata].[Campaign_Name]" caption="Campaign_Name" attribute="1" defaultMemberUniqueName="[Campaign Metadata].[Campaign_Name].[All]" allUniqueName="[Campaign Metadata].[Campaign_Name].[All]" dimensionUniqueName="[Campaign Metadata]" displayFolder="" count="0" memberValueDatatype="130" unbalanced="0"/>
    <cacheHierarchy uniqueName="[Campaign Metadata].[Start_Date]" caption="Start_Date" attribute="1" time="1" defaultMemberUniqueName="[Campaign Metadata].[Start_Date].[All]" allUniqueName="[Campaign Metadata].[Start_Date].[All]" dimensionUniqueName="[Campaign Metadata]" displayFolder="" count="0" memberValueDatatype="7" unbalanced="0"/>
    <cacheHierarchy uniqueName="[Campaign Metadata].[End_Date]" caption="End_Date" attribute="1" time="1" defaultMemberUniqueName="[Campaign Metadata].[End_Date].[All]" allUniqueName="[Campaign Metadata].[End_Date].[All]" dimensionUniqueName="[Campaign Metadata]" displayFolder="" count="0" memberValueDatatype="7" unbalanced="0"/>
    <cacheHierarchy uniqueName="[Campaign Metadata].[Objective]" caption="Objective" attribute="1" defaultMemberUniqueName="[Campaign Metadata].[Objective].[All]" allUniqueName="[Campaign Metadata].[Objective].[All]" dimensionUniqueName="[Campaign Metadata]" displayFolder="" count="0" memberValueDatatype="130" unbalanced="0"/>
    <cacheHierarchy uniqueName="[Campaign Metadata].[Ad_Spend]" caption="Ad_Spend" attribute="1" defaultMemberUniqueName="[Campaign Metadata].[Ad_Spend].[All]" allUniqueName="[Campaign Metadata].[Ad_Spend].[All]" dimensionUniqueName="[Campaign Metadata]" displayFolder="" count="0" memberValueDatatype="5" unbalanced="0"/>
    <cacheHierarchy uniqueName="[Campaign Metadata].[Impressions]" caption="Impressions" attribute="1" defaultMemberUniqueName="[Campaign Metadata].[Impressions].[All]" allUniqueName="[Campaign Metadata].[Impressions].[All]" dimensionUniqueName="[Campaign Metadata]" displayFolder="" count="0" memberValueDatatype="20" unbalanced="0"/>
    <cacheHierarchy uniqueName="[Campaign Metadata].[Engagement_Uplift]" caption="Engagement_Uplift" attribute="1" defaultMemberUniqueName="[Campaign Metadata].[Engagement_Uplift].[All]" allUniqueName="[Campaign Metadata].[Engagement_Uplift].[All]" dimensionUniqueName="[Campaign Metadata]" displayFolder="" count="0" memberValueDatatype="5" unbalanced="0"/>
    <cacheHierarchy uniqueName="[Engagement Summary].[Week_Start_Date]" caption="Week_Start_Date" attribute="1" time="1" defaultMemberUniqueName="[Engagement Summary].[Week_Start_Date].[All]" allUniqueName="[Engagement Summary].[Week_Start_Date].[All]" dimensionUniqueName="[Engagement Summary]" displayFolder="" count="0" memberValueDatatype="7" unbalanced="0"/>
    <cacheHierarchy uniqueName="[Engagement Summary].[Platform]" caption="Platform" attribute="1" defaultMemberUniqueName="[Engagement Summary].[Platform].[All]" allUniqueName="[Engagement Summary].[Platform].[All]" dimensionUniqueName="[Engagement Summary]" displayFolder="" count="0" memberValueDatatype="130" unbalanced="0"/>
    <cacheHierarchy uniqueName="[Engagement Summary].[New_Followers]" caption="New_Followers" attribute="1" defaultMemberUniqueName="[Engagement Summary].[New_Followers].[All]" allUniqueName="[Engagement Summary].[New_Followers].[All]" dimensionUniqueName="[Engagement Summary]" displayFolder="" count="0" memberValueDatatype="20" unbalanced="0"/>
    <cacheHierarchy uniqueName="[Engagement Summary].[Unfollows]" caption="Unfollows" attribute="1" defaultMemberUniqueName="[Engagement Summary].[Unfollows].[All]" allUniqueName="[Engagement Summary].[Unfollows].[All]" dimensionUniqueName="[Engagement Summary]" displayFolder="" count="0" memberValueDatatype="20" unbalanced="0"/>
    <cacheHierarchy uniqueName="[Engagement Summary].[Total_Followers]" caption="Total_Followers" attribute="1" defaultMemberUniqueName="[Engagement Summary].[Total_Followers].[All]" allUniqueName="[Engagement Summary].[Total_Followers].[All]" dimensionUniqueName="[Engagement Summary]" displayFolder="" count="0" memberValueDatatype="20" unbalanced="0"/>
    <cacheHierarchy uniqueName="[Engagement Summary].[Engagement_Rate]" caption="Engagement_Rate" attribute="1" defaultMemberUniqueName="[Engagement Summary].[Engagement_Rate].[All]" allUniqueName="[Engagement Summary].[Engagement_Rate].[All]" dimensionUniqueName="[Engagement Summary]" displayFolder="" count="0" memberValueDatatype="5" unbalanced="0"/>
    <cacheHierarchy uniqueName="[Engagement Summary].[Ad_Spend]" caption="Ad_Spend" attribute="1" defaultMemberUniqueName="[Engagement Summary].[Ad_Spend].[All]" allUniqueName="[Engagement Summary].[Ad_Spend].[All]" dimensionUniqueName="[Engagement Summary]" displayFolder="" count="0" memberValueDatatype="5" unbalanced="0"/>
    <cacheHierarchy uniqueName="[Posts].[PostID]" caption="PostID" attribute="1" defaultMemberUniqueName="[Posts].[PostID].[All]" allUniqueName="[Posts].[PostID].[All]" dimensionUniqueName="[Posts]" displayFolder="" count="0" memberValueDatatype="130" unbalanced="0"/>
    <cacheHierarchy uniqueName="[Posts].[Platform]" caption="Platform" attribute="1" defaultMemberUniqueName="[Posts].[Platform].[All]" allUniqueName="[Posts].[Platform].[All]" dimensionUniqueName="[Posts]" displayFolder="" count="0" memberValueDatatype="130" unbalanced="0"/>
    <cacheHierarchy uniqueName="[Posts].[Date]" caption="Date" attribute="1" time="1" defaultMemberUniqueName="[Posts].[Date].[All]" allUniqueName="[Posts].[Date].[All]" dimensionUniqueName="[Posts]" displayFolder="" count="0" memberValueDatatype="7" unbalanced="0"/>
    <cacheHierarchy uniqueName="[Posts].[ContentType]" caption="ContentType" attribute="1" defaultMemberUniqueName="[Posts].[ContentType].[All]" allUniqueName="[Posts].[ContentType].[All]" dimensionUniqueName="[Posts]" displayFolder="" count="0" memberValueDatatype="130" unbalanced="0"/>
    <cacheHierarchy uniqueName="[Posts].[Hashtags]" caption="Hashtags" attribute="1" defaultMemberUniqueName="[Posts].[Hashtags].[All]" allUniqueName="[Posts].[Hashtags].[All]" dimensionUniqueName="[Posts]" displayFolder="" count="2" memberValueDatatype="130" unbalanced="0">
      <fieldsUsage count="2">
        <fieldUsage x="-1"/>
        <fieldUsage x="0"/>
      </fieldsUsage>
    </cacheHierarchy>
    <cacheHierarchy uniqueName="[Posts].[Likes]" caption="Likes" attribute="1" defaultMemberUniqueName="[Posts].[Likes].[All]" allUniqueName="[Posts].[Likes].[All]" dimensionUniqueName="[Posts]" displayFolder="" count="0" memberValueDatatype="20" unbalanced="0"/>
    <cacheHierarchy uniqueName="[Posts].[Shares]" caption="Shares" attribute="1" defaultMemberUniqueName="[Posts].[Shares].[All]" allUniqueName="[Posts].[Shares].[All]" dimensionUniqueName="[Posts]" displayFolder="" count="0" memberValueDatatype="20" unbalanced="0"/>
    <cacheHierarchy uniqueName="[Posts].[Comments]" caption="Comments" attribute="1" defaultMemberUniqueName="[Posts].[Comments].[All]" allUniqueName="[Posts].[Comments].[All]" dimensionUniqueName="[Posts]" displayFolder="" count="0" memberValueDatatype="20" unbalanced="0"/>
    <cacheHierarchy uniqueName="[Posts].[Clicks]" caption="Clicks" attribute="1" defaultMemberUniqueName="[Posts].[Clicks].[All]" allUniqueName="[Posts].[Clicks].[All]" dimensionUniqueName="[Posts]" displayFolder="" count="0" memberValueDatatype="20" unbalanced="0"/>
    <cacheHierarchy uniqueName="[Posts].[Reach]" caption="Reach" attribute="1" defaultMemberUniqueName="[Posts].[Reach].[All]" allUniqueName="[Posts].[Reach].[All]" dimensionUniqueName="[Posts]" displayFolder="" count="0" memberValueDatatype="20" unbalanced="0"/>
    <cacheHierarchy uniqueName="[Posts].[Impressions]" caption="Impressions" attribute="1" defaultMemberUniqueName="[Posts].[Impressions].[All]" allUniqueName="[Posts].[Impressions].[All]" dimensionUniqueName="[Posts]" displayFolder="" count="0" memberValueDatatype="20" unbalanced="0"/>
    <cacheHierarchy uniqueName="[Posts].[Campaign]" caption="Campaign" attribute="1" defaultMemberUniqueName="[Posts].[Campaign].[All]" allUniqueName="[Posts].[Campaign].[All]" dimensionUniqueName="[Posts]" displayFolder="" count="0" memberValueDatatype="130" unbalanced="0"/>
    <cacheHierarchy uniqueName="[Posts].[Engagement Rate]" caption="Engagement Rate" attribute="1" defaultMemberUniqueName="[Posts].[Engagement Rate].[All]" allUniqueName="[Posts].[Engagement Rate].[All]" dimensionUniqueName="[Posts]" displayFolder="" count="0" memberValueDatatype="5" unbalanced="0"/>
    <cacheHierarchy uniqueName="[Engagement Summary].[Week_Start_Date (Month Index)]" caption="Week_Start_Date (Month Index)" attribute="1" defaultMemberUniqueName="[Engagement Summary].[Week_Start_Date (Month Index)].[All]" allUniqueName="[Engagement Summary].[Week_Start_Date (Month Index)].[All]" dimensionUniqueName="[Engagement Summary]" displayFolder="" count="0" memberValueDatatype="20" unbalanced="0" hidden="1"/>
    <cacheHierarchy uniqueName="[Measures].[Sum of Clicks]" caption="Sum of Clicks" measure="1" displayFolder="" measureGroup="Posts" count="0">
      <extLst>
        <ext xmlns:x15="http://schemas.microsoft.com/office/spreadsheetml/2010/11/main" uri="{B97F6D7D-B522-45F9-BDA1-12C45D357490}">
          <x15:cacheHierarchy aggregatedColumn="22"/>
        </ext>
      </extLst>
    </cacheHierarchy>
    <cacheHierarchy uniqueName="[Measures].[Average of Clicks]" caption="Average of Clicks" measure="1" displayFolder="" measureGroup="Posts" count="0">
      <extLst>
        <ext xmlns:x15="http://schemas.microsoft.com/office/spreadsheetml/2010/11/main" uri="{B97F6D7D-B522-45F9-BDA1-12C45D357490}">
          <x15:cacheHierarchy aggregatedColumn="22"/>
        </ext>
      </extLst>
    </cacheHierarchy>
    <cacheHierarchy uniqueName="[Measures].[Sum of Shares]" caption="Sum of Shares" measure="1" displayFolder="" measureGroup="Posts" count="0">
      <extLst>
        <ext xmlns:x15="http://schemas.microsoft.com/office/spreadsheetml/2010/11/main" uri="{B97F6D7D-B522-45F9-BDA1-12C45D357490}">
          <x15:cacheHierarchy aggregatedColumn="20"/>
        </ext>
      </extLst>
    </cacheHierarchy>
    <cacheHierarchy uniqueName="[Measures].[Sum of Comments]" caption="Sum of Comments" measure="1" displayFolder="" measureGroup="Posts" count="0">
      <extLst>
        <ext xmlns:x15="http://schemas.microsoft.com/office/spreadsheetml/2010/11/main" uri="{B97F6D7D-B522-45F9-BDA1-12C45D357490}">
          <x15:cacheHierarchy aggregatedColumn="21"/>
        </ext>
      </extLst>
    </cacheHierarchy>
    <cacheHierarchy uniqueName="[Measures].[Sum of Likes]" caption="Sum of Likes" measure="1" displayFolder="" measureGroup="Posts" count="0">
      <extLst>
        <ext xmlns:x15="http://schemas.microsoft.com/office/spreadsheetml/2010/11/main" uri="{B97F6D7D-B522-45F9-BDA1-12C45D357490}">
          <x15:cacheHierarchy aggregatedColumn="19"/>
        </ext>
      </extLst>
    </cacheHierarchy>
    <cacheHierarchy uniqueName="[Measures].[Count of Engagement Rate]" caption="Count of Engagement Rate" measure="1" displayFolder="" measureGroup="Posts" count="0">
      <extLst>
        <ext xmlns:x15="http://schemas.microsoft.com/office/spreadsheetml/2010/11/main" uri="{B97F6D7D-B522-45F9-BDA1-12C45D357490}">
          <x15:cacheHierarchy aggregatedColumn="26"/>
        </ext>
      </extLst>
    </cacheHierarchy>
    <cacheHierarchy uniqueName="[Measures].[Average of Engagement Rate]" caption="Average of Engagement Rate" measure="1" displayFolder="" measureGroup="Posts" count="0">
      <extLst>
        <ext xmlns:x15="http://schemas.microsoft.com/office/spreadsheetml/2010/11/main" uri="{B97F6D7D-B522-45F9-BDA1-12C45D357490}">
          <x15:cacheHierarchy aggregatedColumn="26"/>
        </ext>
      </extLst>
    </cacheHierarchy>
    <cacheHierarchy uniqueName="[Measures].[Sum of Engagement Rate]" caption="Sum of Engagement Rate" measure="1" displayFolder="" measureGroup="Posts" count="0">
      <extLst>
        <ext xmlns:x15="http://schemas.microsoft.com/office/spreadsheetml/2010/11/main" uri="{B97F6D7D-B522-45F9-BDA1-12C45D357490}">
          <x15:cacheHierarchy aggregatedColumn="26"/>
        </ext>
      </extLst>
    </cacheHierarchy>
    <cacheHierarchy uniqueName="[Measures].[Count of Clicks]" caption="Count of Clicks" measure="1" displayFolder="" measureGroup="Posts" count="0">
      <extLst>
        <ext xmlns:x15="http://schemas.microsoft.com/office/spreadsheetml/2010/11/main" uri="{B97F6D7D-B522-45F9-BDA1-12C45D357490}">
          <x15:cacheHierarchy aggregatedColumn="22"/>
        </ext>
      </extLst>
    </cacheHierarchy>
    <cacheHierarchy uniqueName="[Measures].[Sum of Impressions]" caption="Sum of Impressions" measure="1" displayFolder="" measureGroup="Posts" count="0">
      <extLst>
        <ext xmlns:x15="http://schemas.microsoft.com/office/spreadsheetml/2010/11/main" uri="{B97F6D7D-B522-45F9-BDA1-12C45D357490}">
          <x15:cacheHierarchy aggregatedColumn="24"/>
        </ext>
      </extLst>
    </cacheHierarchy>
    <cacheHierarchy uniqueName="[Measures].[Average of Impressions]" caption="Average of Impressions" measure="1" displayFolder="" measureGroup="Posts" count="0">
      <extLst>
        <ext xmlns:x15="http://schemas.microsoft.com/office/spreadsheetml/2010/11/main" uri="{B97F6D7D-B522-45F9-BDA1-12C45D357490}">
          <x15:cacheHierarchy aggregatedColumn="24"/>
        </ext>
      </extLst>
    </cacheHierarchy>
    <cacheHierarchy uniqueName="[Measures].[Count of Impressions]" caption="Count of Impressions" measure="1" displayFolder="" measureGroup="Posts" count="0">
      <extLst>
        <ext xmlns:x15="http://schemas.microsoft.com/office/spreadsheetml/2010/11/main" uri="{B97F6D7D-B522-45F9-BDA1-12C45D357490}">
          <x15:cacheHierarchy aggregatedColumn="24"/>
        </ext>
      </extLst>
    </cacheHierarchy>
    <cacheHierarchy uniqueName="[Measures].[Sum of Engagement_Rate]" caption="Sum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New_Followers]" caption="Sum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Count of New_Followers]" caption="Count of New_Followers" measure="1" displayFolder="" measureGroup="Engagement Summary" count="0">
      <extLst>
        <ext xmlns:x15="http://schemas.microsoft.com/office/spreadsheetml/2010/11/main" uri="{B97F6D7D-B522-45F9-BDA1-12C45D357490}">
          <x15:cacheHierarchy aggregatedColumn="9"/>
        </ext>
      </extLst>
    </cacheHierarchy>
    <cacheHierarchy uniqueName="[Measures].[Sum of Total_Followers]" caption="Sum of Total_Followers" measure="1" displayFolder="" measureGroup="Engagement Summary" count="0">
      <extLst>
        <ext xmlns:x15="http://schemas.microsoft.com/office/spreadsheetml/2010/11/main" uri="{B97F6D7D-B522-45F9-BDA1-12C45D357490}">
          <x15:cacheHierarchy aggregatedColumn="11"/>
        </ext>
      </extLst>
    </cacheHierarchy>
    <cacheHierarchy uniqueName="[Measures].[Count of Engagement_Rate]" caption="Count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Average of Engagement_Rate]" caption="Average of Engagement_Rate" measure="1" displayFolder="" measureGroup="Engagement Summary" count="0">
      <extLst>
        <ext xmlns:x15="http://schemas.microsoft.com/office/spreadsheetml/2010/11/main" uri="{B97F6D7D-B522-45F9-BDA1-12C45D357490}">
          <x15:cacheHierarchy aggregatedColumn="12"/>
        </ext>
      </extLst>
    </cacheHierarchy>
    <cacheHierarchy uniqueName="[Measures].[Sum of Ad_Spend]" caption="Sum of Ad_Spend" measure="1" displayFolder="" measureGroup="Engagement Summary" count="0">
      <extLst>
        <ext xmlns:x15="http://schemas.microsoft.com/office/spreadsheetml/2010/11/main" uri="{B97F6D7D-B522-45F9-BDA1-12C45D357490}">
          <x15:cacheHierarchy aggregatedColumn="13"/>
        </ext>
      </extLst>
    </cacheHierarchy>
    <cacheHierarchy uniqueName="[Measures].[Average of Ad_Spend]" caption="Average of Ad_Spend" measure="1" displayFolder="" measureGroup="Engagement Summary" count="0">
      <extLst>
        <ext xmlns:x15="http://schemas.microsoft.com/office/spreadsheetml/2010/11/main" uri="{B97F6D7D-B522-45F9-BDA1-12C45D357490}">
          <x15:cacheHierarchy aggregatedColumn="13"/>
        </ext>
      </extLst>
    </cacheHierarchy>
    <cacheHierarchy uniqueName="[Measures].[Count of ContentType]" caption="Count of ContentType" measure="1" displayFolder="" measureGroup="Posts" count="0">
      <extLst>
        <ext xmlns:x15="http://schemas.microsoft.com/office/spreadsheetml/2010/11/main" uri="{B97F6D7D-B522-45F9-BDA1-12C45D357490}">
          <x15:cacheHierarchy aggregatedColumn="17"/>
        </ext>
      </extLst>
    </cacheHierarchy>
    <cacheHierarchy uniqueName="[Measures].[Count of Hashtags]" caption="Count of Hashtags" measure="1" displayFolder="" measureGroup="Posts" count="0" oneField="1">
      <fieldsUsage count="1">
        <fieldUsage x="1"/>
      </fieldsUsage>
      <extLst>
        <ext xmlns:x15="http://schemas.microsoft.com/office/spreadsheetml/2010/11/main" uri="{B97F6D7D-B522-45F9-BDA1-12C45D357490}">
          <x15:cacheHierarchy aggregatedColumn="18"/>
        </ext>
      </extLst>
    </cacheHierarchy>
    <cacheHierarchy uniqueName="[Measures].[Sum of Ad_Spend 2]" caption="Sum of Ad_Spend 2" measure="1" displayFolder="" measureGroup="Campaign Metadata" count="0">
      <extLst>
        <ext xmlns:x15="http://schemas.microsoft.com/office/spreadsheetml/2010/11/main" uri="{B97F6D7D-B522-45F9-BDA1-12C45D357490}">
          <x15:cacheHierarchy aggregatedColumn="4"/>
        </ext>
      </extLst>
    </cacheHierarchy>
    <cacheHierarchy uniqueName="[Measures].[Average of Likes]" caption="Average of Likes" measure="1" displayFolder="" measureGroup="Posts" count="0">
      <extLst>
        <ext xmlns:x15="http://schemas.microsoft.com/office/spreadsheetml/2010/11/main" uri="{B97F6D7D-B522-45F9-BDA1-12C45D357490}">
          <x15:cacheHierarchy aggregatedColumn="19"/>
        </ext>
      </extLst>
    </cacheHierarchy>
    <cacheHierarchy uniqueName="[Measures].[Sum of Engagement_Uplift]" caption="Sum of Engagement_Uplift" measure="1" displayFolder="" measureGroup="Campaign Metadata" count="0">
      <extLst>
        <ext xmlns:x15="http://schemas.microsoft.com/office/spreadsheetml/2010/11/main" uri="{B97F6D7D-B522-45F9-BDA1-12C45D357490}">
          <x15:cacheHierarchy aggregatedColumn="6"/>
        </ext>
      </extLst>
    </cacheHierarchy>
    <cacheHierarchy uniqueName="[Measures].[__XL_Count Posts]" caption="__XL_Count Posts" measure="1" displayFolder="" measureGroup="Posts" count="0" hidden="1"/>
    <cacheHierarchy uniqueName="[Measures].[__XL_Count Engagement Summary]" caption="__XL_Count Engagement Summary" measure="1" displayFolder="" measureGroup="Engagement Summary" count="0" hidden="1"/>
    <cacheHierarchy uniqueName="[Measures].[__XL_Count Campaign Metadata]" caption="__XL_Count Campaign Metadata" measure="1" displayFolder="" measureGroup="Campaign Metadata" count="0" hidden="1"/>
    <cacheHierarchy uniqueName="[Measures].[__No measures defined]" caption="__No measures defined" measure="1" displayFolder="" count="0" hidden="1"/>
  </cacheHierarchies>
  <kpis count="0"/>
  <dimensions count="4">
    <dimension name="Campaign Metadata" uniqueName="[Campaign Metadata]" caption="Campaign Metadata"/>
    <dimension name="Engagement Summary" uniqueName="[Engagement Summary]" caption="Engagement Summary"/>
    <dimension measure="1" name="Measures" uniqueName="[Measures]" caption="Measures"/>
    <dimension name="Posts" uniqueName="[Posts]" caption="Posts"/>
  </dimensions>
  <measureGroups count="3">
    <measureGroup name="Campaign Metadata" caption="Campaign Metadata"/>
    <measureGroup name="Engagement Summary" caption="Engagement Summary"/>
    <measureGroup name="Posts" caption="Posts"/>
  </measureGroups>
  <maps count="5">
    <map measureGroup="0" dimension="0"/>
    <map measureGroup="1" dimension="0"/>
    <map measureGroup="1" dimension="1"/>
    <map measureGroup="2" dimension="0"/>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4138"/>
    <n v="361"/>
    <n v="103777"/>
    <n v="56.637790647253247"/>
    <n v="23944"/>
  </r>
  <r>
    <x v="0"/>
    <x v="1"/>
    <n v="8693"/>
    <n v="1261"/>
    <n v="111209"/>
    <n v="69.475492091467416"/>
    <n v="29873"/>
  </r>
  <r>
    <x v="0"/>
    <x v="2"/>
    <n v="9264"/>
    <n v="1141"/>
    <n v="119332"/>
    <n v="92.312204605638044"/>
    <n v="50372"/>
  </r>
  <r>
    <x v="0"/>
    <x v="2"/>
    <n v="8842"/>
    <n v="971"/>
    <n v="127203"/>
    <n v="16.351815601833291"/>
    <n v="33928"/>
  </r>
  <r>
    <x v="1"/>
    <x v="0"/>
    <n v="7721"/>
    <n v="506"/>
    <n v="134418"/>
    <n v="35.577824398518047"/>
    <n v="25379"/>
  </r>
  <r>
    <x v="1"/>
    <x v="2"/>
    <n v="8002"/>
    <n v="524"/>
    <n v="141896"/>
    <n v="52.064892597395271"/>
    <n v="46751"/>
  </r>
  <r>
    <x v="1"/>
    <x v="1"/>
    <n v="5225"/>
    <n v="291"/>
    <n v="146830"/>
    <n v="19.551862698358651"/>
    <n v="44546"/>
  </r>
  <r>
    <x v="1"/>
    <x v="1"/>
    <n v="3978"/>
    <n v="543"/>
    <n v="150265"/>
    <n v="49.159817655475329"/>
    <n v="34286"/>
  </r>
  <r>
    <x v="2"/>
    <x v="0"/>
    <n v="8373"/>
    <n v="921"/>
    <n v="157717"/>
    <n v="12.2263294381709"/>
    <n v="15110"/>
  </r>
  <r>
    <x v="2"/>
    <x v="1"/>
    <n v="6907"/>
    <n v="834"/>
    <n v="163790"/>
    <n v="54.158984064961238"/>
    <n v="22087"/>
  </r>
  <r>
    <x v="2"/>
    <x v="3"/>
    <n v="7097"/>
    <n v="369"/>
    <n v="170518"/>
    <n v="9.2506362964613711"/>
    <n v="33762"/>
  </r>
  <r>
    <x v="2"/>
    <x v="0"/>
    <n v="6656"/>
    <n v="978"/>
    <n v="176196"/>
    <n v="60.425889350496043"/>
    <n v="27081"/>
  </r>
  <r>
    <x v="3"/>
    <x v="1"/>
    <n v="9984"/>
    <n v="1330"/>
    <n v="184850"/>
    <n v="57.524479307546663"/>
    <n v="44947"/>
  </r>
  <r>
    <x v="3"/>
    <x v="0"/>
    <n v="5259"/>
    <n v="374"/>
    <n v="189735"/>
    <n v="14.827522597306769"/>
    <n v="19596"/>
  </r>
  <r>
    <x v="3"/>
    <x v="2"/>
    <n v="9286"/>
    <n v="633"/>
    <n v="198388"/>
    <n v="5.4343004617214756"/>
    <n v="48019"/>
  </r>
  <r>
    <x v="3"/>
    <x v="1"/>
    <n v="6901"/>
    <n v="471"/>
    <n v="204818"/>
    <n v="60.827661631301943"/>
    <n v="52003"/>
  </r>
  <r>
    <x v="4"/>
    <x v="3"/>
    <n v="5917"/>
    <n v="475"/>
    <n v="210260"/>
    <n v="17.894035955483691"/>
    <n v="28313"/>
  </r>
  <r>
    <x v="4"/>
    <x v="1"/>
    <n v="9429"/>
    <n v="966"/>
    <n v="218723"/>
    <n v="7.6914636320825887"/>
    <n v="57639"/>
  </r>
  <r>
    <x v="4"/>
    <x v="0"/>
    <n v="3530"/>
    <n v="328"/>
    <n v="221925"/>
    <n v="12.8372197814577"/>
    <n v="11013"/>
  </r>
  <r>
    <x v="4"/>
    <x v="0"/>
    <n v="2960"/>
    <n v="234"/>
    <n v="224651"/>
    <n v="17.41278694508371"/>
    <n v="59378"/>
  </r>
  <r>
    <x v="5"/>
    <x v="1"/>
    <n v="8045"/>
    <n v="894"/>
    <n v="231802"/>
    <n v="47.634187798207087"/>
    <n v="33705"/>
  </r>
  <r>
    <x v="5"/>
    <x v="3"/>
    <n v="2048"/>
    <n v="130"/>
    <n v="233720"/>
    <n v="39.284614068115687"/>
    <n v="11828"/>
  </r>
  <r>
    <x v="5"/>
    <x v="3"/>
    <n v="6772"/>
    <n v="536"/>
    <n v="239956"/>
    <n v="9.8205504342462788"/>
    <n v="17909"/>
  </r>
  <r>
    <x v="5"/>
    <x v="3"/>
    <n v="3529"/>
    <n v="305"/>
    <n v="243180"/>
    <n v="41.606628834608109"/>
    <n v="48356"/>
  </r>
  <r>
    <x v="6"/>
    <x v="0"/>
    <n v="3964"/>
    <n v="378"/>
    <n v="246766"/>
    <n v="13.6355899921383"/>
    <n v="23109"/>
  </r>
  <r>
    <x v="6"/>
    <x v="1"/>
    <n v="8137"/>
    <n v="1045"/>
    <n v="253858"/>
    <n v="20.47246886054408"/>
    <n v="12023"/>
  </r>
  <r>
    <x v="6"/>
    <x v="2"/>
    <n v="1963"/>
    <n v="137"/>
    <n v="255684"/>
    <n v="11.2083665774941"/>
    <n v="24537"/>
  </r>
  <r>
    <x v="6"/>
    <x v="0"/>
    <n v="1536"/>
    <n v="155"/>
    <n v="257065"/>
    <n v="12.15762550327738"/>
    <n v="36661"/>
  </r>
  <r>
    <x v="7"/>
    <x v="3"/>
    <n v="8340"/>
    <n v="911"/>
    <n v="264494"/>
    <n v="37.302925586213682"/>
    <n v="48659"/>
  </r>
  <r>
    <x v="7"/>
    <x v="1"/>
    <n v="8179"/>
    <n v="446"/>
    <n v="272227"/>
    <n v="41.82171496581897"/>
    <n v="43848"/>
  </r>
  <r>
    <x v="7"/>
    <x v="3"/>
    <n v="8967"/>
    <n v="993"/>
    <n v="280201"/>
    <n v="52.792102811910027"/>
    <n v="47804"/>
  </r>
  <r>
    <x v="7"/>
    <x v="2"/>
    <n v="9734"/>
    <n v="652"/>
    <n v="289283"/>
    <n v="49.647922622483861"/>
    <n v="25379"/>
  </r>
  <r>
    <x v="8"/>
    <x v="3"/>
    <n v="1845"/>
    <n v="104"/>
    <n v="291024"/>
    <n v="28.158158777282971"/>
    <n v="37766"/>
  </r>
  <r>
    <x v="8"/>
    <x v="3"/>
    <n v="6777"/>
    <n v="981"/>
    <n v="296820"/>
    <n v="23.920557913887201"/>
    <n v="53590"/>
  </r>
  <r>
    <x v="8"/>
    <x v="2"/>
    <n v="4036"/>
    <n v="591"/>
    <n v="300265"/>
    <n v="44.219272975538267"/>
    <n v="12563"/>
  </r>
  <r>
    <x v="8"/>
    <x v="1"/>
    <n v="6947"/>
    <n v="908"/>
    <n v="306304"/>
    <n v="14.117673944839121"/>
    <n v="46060"/>
  </r>
  <r>
    <x v="9"/>
    <x v="0"/>
    <n v="3494"/>
    <n v="281"/>
    <n v="309517"/>
    <n v="27.765518533715429"/>
    <n v="39197"/>
  </r>
  <r>
    <x v="9"/>
    <x v="1"/>
    <n v="3719"/>
    <n v="222"/>
    <n v="313014"/>
    <n v="21.669318305251519"/>
    <n v="13586"/>
  </r>
  <r>
    <x v="9"/>
    <x v="2"/>
    <n v="2884"/>
    <n v="341"/>
    <n v="315557"/>
    <n v="46.999749649033298"/>
    <n v="26087"/>
  </r>
  <r>
    <x v="9"/>
    <x v="3"/>
    <n v="5349"/>
    <n v="502"/>
    <n v="320404"/>
    <n v="5.2152906954969351"/>
    <n v="58868"/>
  </r>
  <r>
    <x v="10"/>
    <x v="1"/>
    <n v="6179"/>
    <n v="384"/>
    <n v="326199"/>
    <n v="14.71218489327067"/>
    <n v="33225"/>
  </r>
  <r>
    <x v="10"/>
    <x v="0"/>
    <n v="7610"/>
    <n v="757"/>
    <n v="333052"/>
    <n v="44.450416151231643"/>
    <n v="39750"/>
  </r>
  <r>
    <x v="10"/>
    <x v="2"/>
    <n v="7430"/>
    <n v="397"/>
    <n v="340085"/>
    <n v="28.065042562888689"/>
    <n v="16643"/>
  </r>
  <r>
    <x v="10"/>
    <x v="1"/>
    <n v="8154"/>
    <n v="1149"/>
    <n v="347090"/>
    <n v="26.003918292085629"/>
    <n v="37523"/>
  </r>
  <r>
    <x v="11"/>
    <x v="0"/>
    <n v="7488"/>
    <n v="568"/>
    <n v="354010"/>
    <n v="13.47730290104799"/>
    <n v="46727"/>
  </r>
  <r>
    <x v="11"/>
    <x v="2"/>
    <n v="5737"/>
    <n v="666"/>
    <n v="359081"/>
    <n v="4.6034181702735593"/>
    <n v="21005"/>
  </r>
  <r>
    <x v="11"/>
    <x v="0"/>
    <n v="7525"/>
    <n v="610"/>
    <n v="365996"/>
    <n v="5.7694619613329108"/>
    <n v="53543"/>
  </r>
  <r>
    <x v="11"/>
    <x v="2"/>
    <n v="4850"/>
    <n v="494"/>
    <n v="370352"/>
    <n v="20.46539508359615"/>
    <n v="10161"/>
  </r>
  <r>
    <x v="12"/>
    <x v="3"/>
    <n v="1689"/>
    <n v="176"/>
    <n v="371865"/>
    <n v="38.012181840183942"/>
    <n v="26029"/>
  </r>
  <r>
    <x v="12"/>
    <x v="1"/>
    <n v="6175"/>
    <n v="422"/>
    <n v="377618"/>
    <n v="37.86101298137271"/>
    <n v="59745"/>
  </r>
  <r>
    <x v="12"/>
    <x v="0"/>
    <n v="9648"/>
    <n v="1417"/>
    <n v="385849"/>
    <n v="3.6633501706626168"/>
    <n v="24226"/>
  </r>
  <r>
    <x v="12"/>
    <x v="2"/>
    <n v="6078"/>
    <n v="775"/>
    <n v="391152"/>
    <n v="37.760512537325639"/>
    <n v="38731"/>
  </r>
  <r>
    <x v="13"/>
    <x v="0"/>
    <n v="6448"/>
    <n v="928"/>
    <n v="396672"/>
    <n v="30.118586640851881"/>
    <n v="53922"/>
  </r>
  <r>
    <x v="13"/>
    <x v="0"/>
    <n v="2179"/>
    <n v="303"/>
    <n v="398548"/>
    <n v="33.909842729106657"/>
    <n v="54848"/>
  </r>
  <r>
    <x v="13"/>
    <x v="1"/>
    <n v="7406"/>
    <n v="813"/>
    <n v="405141"/>
    <n v="24.457411123534769"/>
    <n v="13390"/>
  </r>
  <r>
    <x v="13"/>
    <x v="3"/>
    <n v="9591"/>
    <n v="1363"/>
    <n v="413369"/>
    <n v="10.494255737609739"/>
    <n v="15997"/>
  </r>
  <r>
    <x v="14"/>
    <x v="0"/>
    <n v="7907"/>
    <n v="465"/>
    <n v="420811"/>
    <n v="33.257448118038738"/>
    <n v="22693"/>
  </r>
  <r>
    <x v="14"/>
    <x v="2"/>
    <n v="9800"/>
    <n v="682"/>
    <n v="429929"/>
    <n v="6.2966210699906267"/>
    <n v="59815"/>
  </r>
  <r>
    <x v="14"/>
    <x v="2"/>
    <n v="2638"/>
    <n v="143"/>
    <n v="432424"/>
    <n v="6.9547481175882924"/>
    <n v="52092"/>
  </r>
  <r>
    <x v="14"/>
    <x v="3"/>
    <n v="6671"/>
    <n v="550"/>
    <n v="438545"/>
    <n v="17.750287883797562"/>
    <n v="10541"/>
  </r>
  <r>
    <x v="15"/>
    <x v="2"/>
    <n v="7928"/>
    <n v="704"/>
    <n v="445769"/>
    <n v="11.194362999670229"/>
    <n v="31817"/>
  </r>
  <r>
    <x v="15"/>
    <x v="3"/>
    <n v="2382"/>
    <n v="183"/>
    <n v="447968"/>
    <n v="4.7335970426459033"/>
    <n v="47861"/>
  </r>
  <r>
    <x v="15"/>
    <x v="2"/>
    <n v="2403"/>
    <n v="319"/>
    <n v="450052"/>
    <n v="29.92120910472568"/>
    <n v="23428"/>
  </r>
  <r>
    <x v="15"/>
    <x v="1"/>
    <n v="4292"/>
    <n v="367"/>
    <n v="453977"/>
    <n v="3.5037017293827661"/>
    <n v="53934"/>
  </r>
  <r>
    <x v="16"/>
    <x v="0"/>
    <n v="1419"/>
    <n v="110"/>
    <n v="455286"/>
    <n v="31.554451487636339"/>
    <n v="58831"/>
  </r>
  <r>
    <x v="16"/>
    <x v="1"/>
    <n v="5517"/>
    <n v="575"/>
    <n v="460228"/>
    <n v="29.45844233727631"/>
    <n v="20258"/>
  </r>
  <r>
    <x v="16"/>
    <x v="0"/>
    <n v="4302"/>
    <n v="275"/>
    <n v="464255"/>
    <n v="15.72131694865968"/>
    <n v="26044"/>
  </r>
  <r>
    <x v="16"/>
    <x v="0"/>
    <n v="8857"/>
    <n v="1153"/>
    <n v="471959"/>
    <n v="19.214592793018038"/>
    <n v="39411"/>
  </r>
  <r>
    <x v="17"/>
    <x v="0"/>
    <n v="8870"/>
    <n v="509"/>
    <n v="480320"/>
    <n v="25.077864756828781"/>
    <n v="15469"/>
  </r>
  <r>
    <x v="17"/>
    <x v="1"/>
    <n v="6693"/>
    <n v="995"/>
    <n v="486018"/>
    <n v="23.761877132122681"/>
    <n v="38854"/>
  </r>
  <r>
    <x v="17"/>
    <x v="0"/>
    <n v="1767"/>
    <n v="224"/>
    <n v="487561"/>
    <n v="13.208603641390511"/>
    <n v="16256"/>
  </r>
  <r>
    <x v="17"/>
    <x v="1"/>
    <n v="3044"/>
    <n v="212"/>
    <n v="490393"/>
    <n v="8.5343795690395261"/>
    <n v="20720"/>
  </r>
  <r>
    <x v="18"/>
    <x v="3"/>
    <n v="2549"/>
    <n v="128"/>
    <n v="492814"/>
    <n v="12.734216154573531"/>
    <n v="43937"/>
  </r>
  <r>
    <x v="18"/>
    <x v="2"/>
    <n v="7140"/>
    <n v="939"/>
    <n v="499015"/>
    <n v="25.120888149654821"/>
    <n v="43598"/>
  </r>
  <r>
    <x v="18"/>
    <x v="2"/>
    <n v="4716"/>
    <n v="569"/>
    <n v="503162"/>
    <n v="25.64820077827817"/>
    <n v="11651"/>
  </r>
  <r>
    <x v="18"/>
    <x v="0"/>
    <n v="5481"/>
    <n v="673"/>
    <n v="507970"/>
    <n v="13.08758391243577"/>
    <n v="29194"/>
  </r>
  <r>
    <x v="19"/>
    <x v="1"/>
    <n v="8898"/>
    <n v="1131"/>
    <n v="515737"/>
    <n v="2.1877429775253669"/>
    <n v="35051"/>
  </r>
  <r>
    <x v="19"/>
    <x v="2"/>
    <n v="7548"/>
    <n v="433"/>
    <n v="522852"/>
    <n v="8.3562843787534522"/>
    <n v="37386"/>
  </r>
  <r>
    <x v="19"/>
    <x v="1"/>
    <n v="3293"/>
    <n v="282"/>
    <n v="525863"/>
    <n v="27.040693108281051"/>
    <n v="19518"/>
  </r>
  <r>
    <x v="19"/>
    <x v="1"/>
    <n v="5837"/>
    <n v="359"/>
    <n v="531341"/>
    <n v="6.8073045370110723"/>
    <n v="56026"/>
  </r>
  <r>
    <x v="20"/>
    <x v="0"/>
    <n v="8758"/>
    <n v="1193"/>
    <n v="538906"/>
    <n v="3.4213758985797149"/>
    <n v="26184"/>
  </r>
  <r>
    <x v="20"/>
    <x v="2"/>
    <n v="7793"/>
    <n v="875"/>
    <n v="545824"/>
    <n v="5.5136820660139527"/>
    <n v="43787"/>
  </r>
  <r>
    <x v="20"/>
    <x v="0"/>
    <n v="8638"/>
    <n v="717"/>
    <n v="553745"/>
    <n v="26.921416897669499"/>
    <n v="31621"/>
  </r>
  <r>
    <x v="20"/>
    <x v="0"/>
    <n v="8993"/>
    <n v="506"/>
    <n v="562232"/>
    <n v="3.5131404829323132"/>
    <n v="20028"/>
  </r>
  <r>
    <x v="21"/>
    <x v="2"/>
    <n v="7007"/>
    <n v="568"/>
    <n v="568671"/>
    <n v="11.50507059442103"/>
    <n v="22448"/>
  </r>
  <r>
    <x v="21"/>
    <x v="2"/>
    <n v="6542"/>
    <n v="539"/>
    <n v="574674"/>
    <n v="6.4069368024305948"/>
    <n v="55253"/>
  </r>
  <r>
    <x v="21"/>
    <x v="3"/>
    <n v="7356"/>
    <n v="904"/>
    <n v="581126"/>
    <n v="17.560907617280929"/>
    <n v="44051"/>
  </r>
  <r>
    <x v="21"/>
    <x v="3"/>
    <n v="9433"/>
    <n v="1073"/>
    <n v="589486"/>
    <n v="7.2934726185185053"/>
    <n v="59811"/>
  </r>
  <r>
    <x v="22"/>
    <x v="1"/>
    <n v="8380"/>
    <n v="1162"/>
    <n v="596704"/>
    <n v="18.05853488496809"/>
    <n v="40447"/>
  </r>
  <r>
    <x v="22"/>
    <x v="2"/>
    <n v="3385"/>
    <n v="329"/>
    <n v="599760"/>
    <n v="17.61788048552755"/>
    <n v="28394"/>
  </r>
  <r>
    <x v="22"/>
    <x v="3"/>
    <n v="5268"/>
    <n v="326"/>
    <n v="604702"/>
    <n v="23.435841125050029"/>
    <n v="44501"/>
  </r>
  <r>
    <x v="22"/>
    <x v="1"/>
    <n v="1671"/>
    <n v="202"/>
    <n v="606171"/>
    <n v="15.150015424690389"/>
    <n v="40254"/>
  </r>
  <r>
    <x v="23"/>
    <x v="1"/>
    <n v="1163"/>
    <n v="146"/>
    <n v="607188"/>
    <n v="21.77776899411715"/>
    <n v="28509"/>
  </r>
  <r>
    <x v="23"/>
    <x v="1"/>
    <n v="9656"/>
    <n v="1024"/>
    <n v="615820"/>
    <n v="8.7252768666168681"/>
    <n v="58998"/>
  </r>
  <r>
    <x v="23"/>
    <x v="3"/>
    <n v="5592"/>
    <n v="710"/>
    <n v="620702"/>
    <n v="9.07118069540617"/>
    <n v="24472"/>
  </r>
  <r>
    <x v="23"/>
    <x v="2"/>
    <n v="5795"/>
    <n v="575"/>
    <n v="625922"/>
    <n v="3.0908004511744269"/>
    <n v="55657"/>
  </r>
  <r>
    <x v="24"/>
    <x v="0"/>
    <n v="5798"/>
    <n v="592"/>
    <n v="631128"/>
    <n v="1.6774727155188811"/>
    <n v="13471"/>
  </r>
  <r>
    <x v="24"/>
    <x v="1"/>
    <n v="7036"/>
    <n v="652"/>
    <n v="637512"/>
    <n v="3.5705994553828009"/>
    <n v="51796"/>
  </r>
  <r>
    <x v="24"/>
    <x v="3"/>
    <n v="3355"/>
    <n v="176"/>
    <n v="640691"/>
    <n v="12.426427091999111"/>
    <n v="40268"/>
  </r>
  <r>
    <x v="24"/>
    <x v="3"/>
    <n v="6887"/>
    <n v="418"/>
    <n v="647160"/>
    <n v="20.240280610668151"/>
    <n v="18329"/>
  </r>
  <r>
    <x v="25"/>
    <x v="0"/>
    <n v="8961"/>
    <n v="476"/>
    <n v="655645"/>
    <n v="15.458517947974901"/>
    <n v="44865"/>
  </r>
  <r>
    <x v="25"/>
    <x v="0"/>
    <n v="6827"/>
    <n v="775"/>
    <n v="661697"/>
    <n v="15.96622018839439"/>
    <n v="56850"/>
  </r>
  <r>
    <x v="25"/>
    <x v="3"/>
    <n v="9737"/>
    <n v="792"/>
    <n v="670642"/>
    <n v="5.301785453341723"/>
    <n v="56698"/>
  </r>
  <r>
    <x v="25"/>
    <x v="2"/>
    <n v="5719"/>
    <n v="576"/>
    <n v="675785"/>
    <n v="10.21656296011305"/>
    <n v="38272"/>
  </r>
  <r>
    <x v="26"/>
    <x v="0"/>
    <n v="1593"/>
    <n v="224"/>
    <n v="677154"/>
    <n v="4.1495730660972248"/>
    <n v="52845"/>
  </r>
  <r>
    <x v="26"/>
    <x v="3"/>
    <n v="5839"/>
    <n v="437"/>
    <n v="682556"/>
    <n v="17.44750613869045"/>
    <n v="16397"/>
  </r>
  <r>
    <x v="26"/>
    <x v="0"/>
    <n v="8394"/>
    <n v="764"/>
    <n v="690186"/>
    <n v="6.3556780346167558"/>
    <n v="42373"/>
  </r>
  <r>
    <x v="26"/>
    <x v="2"/>
    <n v="4493"/>
    <n v="564"/>
    <n v="694115"/>
    <n v="16.625487131094989"/>
    <n v="45525"/>
  </r>
  <r>
    <x v="27"/>
    <x v="1"/>
    <n v="7164"/>
    <n v="522"/>
    <n v="700757"/>
    <n v="13.449169969047761"/>
    <n v="34570"/>
  </r>
  <r>
    <x v="27"/>
    <x v="0"/>
    <n v="3672"/>
    <n v="211"/>
    <n v="704218"/>
    <n v="12.35057894004413"/>
    <n v="28284"/>
  </r>
  <r>
    <x v="27"/>
    <x v="2"/>
    <n v="5200"/>
    <n v="410"/>
    <n v="709008"/>
    <n v="12.913394489201821"/>
    <n v="28994"/>
  </r>
  <r>
    <x v="27"/>
    <x v="3"/>
    <n v="1016"/>
    <n v="67"/>
    <n v="709957"/>
    <n v="20.774215903216671"/>
    <n v="33284"/>
  </r>
  <r>
    <x v="28"/>
    <x v="0"/>
    <n v="4191"/>
    <n v="599"/>
    <n v="713549"/>
    <n v="11.56416728213479"/>
    <n v="27833"/>
  </r>
  <r>
    <x v="28"/>
    <x v="0"/>
    <n v="1392"/>
    <n v="182"/>
    <n v="714759"/>
    <n v="5.9603306848881932"/>
    <n v="35122"/>
  </r>
  <r>
    <x v="28"/>
    <x v="3"/>
    <n v="9616"/>
    <n v="1089"/>
    <n v="723286"/>
    <n v="19.25863351426683"/>
    <n v="15017"/>
  </r>
  <r>
    <x v="28"/>
    <x v="1"/>
    <n v="7272"/>
    <n v="997"/>
    <n v="729561"/>
    <n v="13.428486445958599"/>
    <n v="26370"/>
  </r>
  <r>
    <x v="29"/>
    <x v="3"/>
    <n v="1571"/>
    <n v="204"/>
    <n v="730928"/>
    <n v="19.449384891535139"/>
    <n v="39252"/>
  </r>
  <r>
    <x v="29"/>
    <x v="0"/>
    <n v="4631"/>
    <n v="317"/>
    <n v="735242"/>
    <n v="1.381177897889402"/>
    <n v="17999"/>
  </r>
  <r>
    <x v="29"/>
    <x v="3"/>
    <n v="7172"/>
    <n v="998"/>
    <n v="741416"/>
    <n v="18.0667803230575"/>
    <n v="32436"/>
  </r>
  <r>
    <x v="29"/>
    <x v="2"/>
    <n v="8177"/>
    <n v="849"/>
    <n v="748744"/>
    <n v="10.34986590877523"/>
    <n v="52963"/>
  </r>
  <r>
    <x v="30"/>
    <x v="3"/>
    <n v="9433"/>
    <n v="1233"/>
    <n v="756944"/>
    <n v="11.391727789638329"/>
    <n v="12096"/>
  </r>
  <r>
    <x v="30"/>
    <x v="0"/>
    <n v="4897"/>
    <n v="683"/>
    <n v="761158"/>
    <n v="15.06231294947961"/>
    <n v="58201"/>
  </r>
  <r>
    <x v="30"/>
    <x v="3"/>
    <n v="9123"/>
    <n v="746"/>
    <n v="769535"/>
    <n v="6.3086149427901264"/>
    <n v="35279"/>
  </r>
  <r>
    <x v="30"/>
    <x v="1"/>
    <n v="3279"/>
    <n v="200"/>
    <n v="772614"/>
    <n v="5.0212654702089274"/>
    <n v="53363"/>
  </r>
  <r>
    <x v="31"/>
    <x v="3"/>
    <n v="9980"/>
    <n v="726"/>
    <n v="781868"/>
    <n v="4.0220344099003924"/>
    <n v="58709"/>
  </r>
  <r>
    <x v="31"/>
    <x v="1"/>
    <n v="8451"/>
    <n v="783"/>
    <n v="789536"/>
    <n v="12.407287318121019"/>
    <n v="36201"/>
  </r>
  <r>
    <x v="31"/>
    <x v="2"/>
    <n v="9906"/>
    <n v="1305"/>
    <n v="798137"/>
    <n v="9.1811305577864442"/>
    <n v="29715"/>
  </r>
  <r>
    <x v="31"/>
    <x v="1"/>
    <n v="1775"/>
    <n v="241"/>
    <n v="799671"/>
    <n v="8.1379717408784362"/>
    <n v="39309"/>
  </r>
  <r>
    <x v="32"/>
    <x v="3"/>
    <n v="7869"/>
    <n v="398"/>
    <n v="807142"/>
    <n v="15.211945357818079"/>
    <n v="25078"/>
  </r>
  <r>
    <x v="32"/>
    <x v="0"/>
    <n v="3247"/>
    <n v="328"/>
    <n v="810061"/>
    <n v="13.941172331466401"/>
    <n v="15105"/>
  </r>
  <r>
    <x v="32"/>
    <x v="1"/>
    <n v="8088"/>
    <n v="742"/>
    <n v="817407"/>
    <n v="14.664542877660701"/>
    <n v="39312"/>
  </r>
  <r>
    <x v="32"/>
    <x v="2"/>
    <n v="1078"/>
    <n v="77"/>
    <n v="818408"/>
    <n v="18.236747441373989"/>
    <n v="12839"/>
  </r>
  <r>
    <x v="33"/>
    <x v="1"/>
    <n v="9080"/>
    <n v="562"/>
    <n v="826926"/>
    <n v="7.1083748727213809"/>
    <n v="13384"/>
  </r>
  <r>
    <x v="33"/>
    <x v="1"/>
    <n v="8099"/>
    <n v="678"/>
    <n v="834347"/>
    <n v="7.6464588474579518"/>
    <n v="53619"/>
  </r>
  <r>
    <x v="33"/>
    <x v="1"/>
    <n v="4926"/>
    <n v="710"/>
    <n v="838563"/>
    <n v="12.96217457722318"/>
    <n v="52821"/>
  </r>
  <r>
    <x v="33"/>
    <x v="2"/>
    <n v="8340"/>
    <n v="686"/>
    <n v="846217"/>
    <n v="7.201344336027284"/>
    <n v="23493"/>
  </r>
  <r>
    <x v="34"/>
    <x v="3"/>
    <n v="8083"/>
    <n v="823"/>
    <n v="853477"/>
    <n v="4.6300017457998282"/>
    <n v="27069"/>
  </r>
  <r>
    <x v="34"/>
    <x v="1"/>
    <n v="7230"/>
    <n v="869"/>
    <n v="859838"/>
    <n v="7.0117859410726204"/>
    <n v="56907"/>
  </r>
  <r>
    <x v="34"/>
    <x v="1"/>
    <n v="5940"/>
    <n v="512"/>
    <n v="865266"/>
    <n v="15.7972230504839"/>
    <n v="17531"/>
  </r>
  <r>
    <x v="34"/>
    <x v="0"/>
    <n v="4271"/>
    <n v="628"/>
    <n v="868909"/>
    <n v="11.124410036033691"/>
    <n v="47051"/>
  </r>
  <r>
    <x v="35"/>
    <x v="2"/>
    <n v="4456"/>
    <n v="651"/>
    <n v="872714"/>
    <n v="9.5052903929580594"/>
    <n v="17736"/>
  </r>
  <r>
    <x v="35"/>
    <x v="1"/>
    <n v="8788"/>
    <n v="660"/>
    <n v="880842"/>
    <n v="3.7175793161543158"/>
    <n v="17710"/>
  </r>
  <r>
    <x v="35"/>
    <x v="2"/>
    <n v="9599"/>
    <n v="957"/>
    <n v="889484"/>
    <n v="8.768004820772493"/>
    <n v="11619"/>
  </r>
  <r>
    <x v="35"/>
    <x v="1"/>
    <n v="8650"/>
    <n v="692"/>
    <n v="897442"/>
    <n v="7.6673478620345374"/>
    <n v="23975"/>
  </r>
  <r>
    <x v="36"/>
    <x v="3"/>
    <n v="3711"/>
    <n v="291"/>
    <n v="900862"/>
    <n v="14.24879726306582"/>
    <n v="55603"/>
  </r>
  <r>
    <x v="36"/>
    <x v="3"/>
    <n v="2668"/>
    <n v="143"/>
    <n v="903387"/>
    <n v="15.903372530266649"/>
    <n v="33252"/>
  </r>
  <r>
    <x v="36"/>
    <x v="1"/>
    <n v="1147"/>
    <n v="127"/>
    <n v="904407"/>
    <n v="1.3997016829812241"/>
    <n v="25261"/>
  </r>
  <r>
    <x v="36"/>
    <x v="3"/>
    <n v="7420"/>
    <n v="743"/>
    <n v="911084"/>
    <n v="10.593534734448189"/>
    <n v="11431"/>
  </r>
  <r>
    <x v="37"/>
    <x v="1"/>
    <n v="1365"/>
    <n v="75"/>
    <n v="912374"/>
    <n v="9.2688963078737441"/>
    <n v="19067"/>
  </r>
  <r>
    <x v="37"/>
    <x v="3"/>
    <n v="5531"/>
    <n v="430"/>
    <n v="917475"/>
    <n v="2.7289026948963189"/>
    <n v="47481"/>
  </r>
  <r>
    <x v="37"/>
    <x v="0"/>
    <n v="6330"/>
    <n v="891"/>
    <n v="922914"/>
    <n v="14.789893749580139"/>
    <n v="37037"/>
  </r>
  <r>
    <x v="37"/>
    <x v="0"/>
    <n v="6510"/>
    <n v="481"/>
    <n v="928943"/>
    <n v="2.3800168578696428"/>
    <n v="19557"/>
  </r>
  <r>
    <x v="38"/>
    <x v="0"/>
    <n v="9754"/>
    <n v="629"/>
    <n v="938068"/>
    <n v="3.4123325814333292"/>
    <n v="19435"/>
  </r>
  <r>
    <x v="38"/>
    <x v="2"/>
    <n v="9964"/>
    <n v="985"/>
    <n v="947047"/>
    <n v="1.9837452629066989"/>
    <n v="47766"/>
  </r>
  <r>
    <x v="38"/>
    <x v="2"/>
    <n v="7493"/>
    <n v="1113"/>
    <n v="953427"/>
    <n v="15.684892498324469"/>
    <n v="10162"/>
  </r>
  <r>
    <x v="38"/>
    <x v="0"/>
    <n v="6439"/>
    <n v="477"/>
    <n v="959389"/>
    <n v="7.4744446725989153"/>
    <n v="44742"/>
  </r>
  <r>
    <x v="39"/>
    <x v="2"/>
    <n v="7511"/>
    <n v="880"/>
    <n v="966020"/>
    <n v="4.6083932009689246"/>
    <n v="29675"/>
  </r>
  <r>
    <x v="39"/>
    <x v="3"/>
    <n v="8504"/>
    <n v="1072"/>
    <n v="973452"/>
    <n v="6.5651927367759271"/>
    <n v="18461"/>
  </r>
  <r>
    <x v="39"/>
    <x v="1"/>
    <n v="2246"/>
    <n v="165"/>
    <n v="975533"/>
    <n v="2.9062061457685191"/>
    <n v="27015"/>
  </r>
  <r>
    <x v="39"/>
    <x v="1"/>
    <n v="4839"/>
    <n v="594"/>
    <n v="979778"/>
    <n v="2.5803804535313102"/>
    <n v="42591"/>
  </r>
  <r>
    <x v="40"/>
    <x v="1"/>
    <n v="9551"/>
    <n v="828"/>
    <n v="988501"/>
    <n v="1.525036393488727"/>
    <n v="38047"/>
  </r>
  <r>
    <x v="40"/>
    <x v="0"/>
    <n v="3376"/>
    <n v="382"/>
    <n v="991495"/>
    <n v="3.8694093263203548"/>
    <n v="44782"/>
  </r>
  <r>
    <x v="40"/>
    <x v="2"/>
    <n v="4009"/>
    <n v="454"/>
    <n v="995050"/>
    <n v="2.1106477061454201"/>
    <n v="19833"/>
  </r>
  <r>
    <x v="40"/>
    <x v="3"/>
    <n v="2827"/>
    <n v="292"/>
    <n v="997585"/>
    <n v="2.4004972007397871"/>
    <n v="17896"/>
  </r>
  <r>
    <x v="41"/>
    <x v="3"/>
    <n v="7979"/>
    <n v="470"/>
    <n v="1005094"/>
    <n v="10.43086517280971"/>
    <n v="42972"/>
  </r>
  <r>
    <x v="41"/>
    <x v="0"/>
    <n v="9569"/>
    <n v="1277"/>
    <n v="1013386"/>
    <n v="12.45517502708741"/>
    <n v="59733"/>
  </r>
  <r>
    <x v="41"/>
    <x v="3"/>
    <n v="5285"/>
    <n v="433"/>
    <n v="1018238"/>
    <n v="8.7022876773406619"/>
    <n v="51800"/>
  </r>
  <r>
    <x v="41"/>
    <x v="3"/>
    <n v="7910"/>
    <n v="543"/>
    <n v="1025605"/>
    <n v="6.0590578244060822"/>
    <n v="40508"/>
  </r>
  <r>
    <x v="42"/>
    <x v="3"/>
    <n v="9561"/>
    <n v="517"/>
    <n v="1034649"/>
    <n v="6.4086467971263694"/>
    <n v="15347"/>
  </r>
  <r>
    <x v="42"/>
    <x v="3"/>
    <n v="3196"/>
    <n v="348"/>
    <n v="1037497"/>
    <n v="14.03040201562029"/>
    <n v="40314"/>
  </r>
  <r>
    <x v="42"/>
    <x v="2"/>
    <n v="4747"/>
    <n v="558"/>
    <n v="1041686"/>
    <n v="5.7680529449373434"/>
    <n v="12643"/>
  </r>
  <r>
    <x v="42"/>
    <x v="3"/>
    <n v="9843"/>
    <n v="508"/>
    <n v="1051021"/>
    <n v="4.2080986012648651"/>
    <n v="50785"/>
  </r>
  <r>
    <x v="43"/>
    <x v="1"/>
    <n v="6978"/>
    <n v="706"/>
    <n v="1057293"/>
    <n v="5.057443868445171"/>
    <n v="28681"/>
  </r>
  <r>
    <x v="43"/>
    <x v="0"/>
    <n v="6607"/>
    <n v="479"/>
    <n v="1063421"/>
    <n v="5.5892257158735816"/>
    <n v="48328"/>
  </r>
  <r>
    <x v="43"/>
    <x v="2"/>
    <n v="1769"/>
    <n v="202"/>
    <n v="1064988"/>
    <n v="6.5457075572682513"/>
    <n v="25892"/>
  </r>
  <r>
    <x v="43"/>
    <x v="3"/>
    <n v="1780"/>
    <n v="120"/>
    <n v="1066648"/>
    <n v="13.86474263299608"/>
    <n v="57299"/>
  </r>
  <r>
    <x v="44"/>
    <x v="2"/>
    <n v="7303"/>
    <n v="869"/>
    <n v="1073082"/>
    <n v="8.1237966902808925"/>
    <n v="27073"/>
  </r>
  <r>
    <x v="44"/>
    <x v="3"/>
    <n v="4983"/>
    <n v="441"/>
    <n v="1077624"/>
    <n v="6.8954477628560609"/>
    <n v="46768"/>
  </r>
  <r>
    <x v="44"/>
    <x v="1"/>
    <n v="9714"/>
    <n v="1395"/>
    <n v="1085943"/>
    <n v="5.2243073531483697"/>
    <n v="40682"/>
  </r>
  <r>
    <x v="44"/>
    <x v="0"/>
    <n v="1521"/>
    <n v="96"/>
    <n v="1087368"/>
    <n v="12.709772588488899"/>
    <n v="42262"/>
  </r>
  <r>
    <x v="45"/>
    <x v="3"/>
    <n v="8569"/>
    <n v="720"/>
    <n v="1095217"/>
    <n v="9.589697749395782"/>
    <n v="41358"/>
  </r>
  <r>
    <x v="45"/>
    <x v="3"/>
    <n v="6784"/>
    <n v="416"/>
    <n v="1101585"/>
    <n v="9.3041390360253633"/>
    <n v="24289"/>
  </r>
  <r>
    <x v="45"/>
    <x v="3"/>
    <n v="5583"/>
    <n v="795"/>
    <n v="1106373"/>
    <n v="12.21550055903389"/>
    <n v="59823"/>
  </r>
  <r>
    <x v="45"/>
    <x v="3"/>
    <n v="6946"/>
    <n v="956"/>
    <n v="1112363"/>
    <n v="1.64146056637986"/>
    <n v="17927"/>
  </r>
  <r>
    <x v="46"/>
    <x v="0"/>
    <n v="5941"/>
    <n v="450"/>
    <n v="1117854"/>
    <n v="12.414411899944"/>
    <n v="58330"/>
  </r>
  <r>
    <x v="46"/>
    <x v="0"/>
    <n v="7267"/>
    <n v="842"/>
    <n v="1124279"/>
    <n v="2.2102165031989389"/>
    <n v="11171"/>
  </r>
  <r>
    <x v="46"/>
    <x v="1"/>
    <n v="8128"/>
    <n v="1070"/>
    <n v="1131337"/>
    <n v="8.1114645768679008"/>
    <n v="21918"/>
  </r>
  <r>
    <x v="46"/>
    <x v="0"/>
    <n v="3461"/>
    <n v="365"/>
    <n v="1134433"/>
    <n v="10.23489267325616"/>
    <n v="51903"/>
  </r>
  <r>
    <x v="47"/>
    <x v="3"/>
    <n v="1685"/>
    <n v="173"/>
    <n v="1135945"/>
    <n v="8.7776256772995165"/>
    <n v="49110"/>
  </r>
  <r>
    <x v="47"/>
    <x v="1"/>
    <n v="3160"/>
    <n v="234"/>
    <n v="1138871"/>
    <n v="5.6959041015180816"/>
    <n v="21929"/>
  </r>
  <r>
    <x v="47"/>
    <x v="1"/>
    <n v="8031"/>
    <n v="476"/>
    <n v="1146426"/>
    <n v="11.940413075069831"/>
    <n v="12539"/>
  </r>
  <r>
    <x v="47"/>
    <x v="1"/>
    <n v="6341"/>
    <n v="885"/>
    <n v="1151882"/>
    <n v="6.3457020771224837"/>
    <n v="46727"/>
  </r>
  <r>
    <x v="48"/>
    <x v="3"/>
    <n v="1038"/>
    <n v="145"/>
    <n v="1152775"/>
    <n v="11.093752033137431"/>
    <n v="55951"/>
  </r>
  <r>
    <x v="48"/>
    <x v="2"/>
    <n v="5875"/>
    <n v="665"/>
    <n v="1157985"/>
    <n v="6.9871371390821126"/>
    <n v="32669"/>
  </r>
  <r>
    <x v="48"/>
    <x v="3"/>
    <n v="2256"/>
    <n v="189"/>
    <n v="1160052"/>
    <n v="2.8935771844710412"/>
    <n v="15432"/>
  </r>
  <r>
    <x v="48"/>
    <x v="0"/>
    <n v="8697"/>
    <n v="738"/>
    <n v="1168011"/>
    <n v="3.8777032065622672"/>
    <n v="30644"/>
  </r>
  <r>
    <x v="49"/>
    <x v="0"/>
    <n v="3196"/>
    <n v="391"/>
    <n v="1170816"/>
    <n v="7.2439221876024931"/>
    <n v="28745"/>
  </r>
  <r>
    <x v="49"/>
    <x v="3"/>
    <n v="8165"/>
    <n v="1140"/>
    <n v="1177841"/>
    <n v="9.095964565675672"/>
    <n v="38228"/>
  </r>
  <r>
    <x v="49"/>
    <x v="3"/>
    <n v="1301"/>
    <n v="180"/>
    <n v="1178962"/>
    <n v="5.2275645864752214"/>
    <n v="44521"/>
  </r>
  <r>
    <x v="49"/>
    <x v="1"/>
    <n v="8527"/>
    <n v="1091"/>
    <n v="1186398"/>
    <n v="1.676081719625286"/>
    <n v="417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s v="Instagram"/>
    <n v="4138"/>
    <n v="361"/>
    <n v="103777"/>
    <n v="56.637790647253247"/>
    <n v="23944"/>
    <x v="0"/>
  </r>
  <r>
    <d v="2024-06-03T00:00:00"/>
    <s v="Twitter"/>
    <n v="8693"/>
    <n v="1261"/>
    <n v="111209"/>
    <n v="69.475492091467416"/>
    <n v="29873"/>
    <x v="0"/>
  </r>
  <r>
    <d v="2024-06-03T00:00:00"/>
    <s v="YouTube"/>
    <n v="9264"/>
    <n v="1141"/>
    <n v="119332"/>
    <n v="92.312204605638044"/>
    <n v="50372"/>
    <x v="0"/>
  </r>
  <r>
    <d v="2024-06-03T00:00:00"/>
    <s v="YouTube"/>
    <n v="8842"/>
    <n v="971"/>
    <n v="127203"/>
    <n v="16.351815601833291"/>
    <n v="33928"/>
    <x v="0"/>
  </r>
  <r>
    <d v="2024-06-10T00:00:00"/>
    <s v="Instagram"/>
    <n v="7721"/>
    <n v="506"/>
    <n v="134418"/>
    <n v="35.577824398518047"/>
    <n v="25379"/>
    <x v="0"/>
  </r>
  <r>
    <d v="2024-06-10T00:00:00"/>
    <s v="YouTube"/>
    <n v="8002"/>
    <n v="524"/>
    <n v="141896"/>
    <n v="52.064892597395271"/>
    <n v="46751"/>
    <x v="0"/>
  </r>
  <r>
    <d v="2024-06-10T00:00:00"/>
    <s v="Twitter"/>
    <n v="5225"/>
    <n v="291"/>
    <n v="146830"/>
    <n v="19.551862698358651"/>
    <n v="44546"/>
    <x v="0"/>
  </r>
  <r>
    <d v="2024-06-10T00:00:00"/>
    <s v="Twitter"/>
    <n v="3978"/>
    <n v="543"/>
    <n v="150265"/>
    <n v="49.159817655475329"/>
    <n v="34286"/>
    <x v="0"/>
  </r>
  <r>
    <d v="2024-06-17T00:00:00"/>
    <s v="Instagram"/>
    <n v="8373"/>
    <n v="921"/>
    <n v="157717"/>
    <n v="12.2263294381709"/>
    <n v="15110"/>
    <x v="1"/>
  </r>
  <r>
    <d v="2024-06-17T00:00:00"/>
    <s v="Twitter"/>
    <n v="6907"/>
    <n v="834"/>
    <n v="163790"/>
    <n v="54.158984064961238"/>
    <n v="22087"/>
    <x v="1"/>
  </r>
  <r>
    <d v="2024-06-17T00:00:00"/>
    <s v="LinkedIn"/>
    <n v="7097"/>
    <n v="369"/>
    <n v="170518"/>
    <n v="9.2506362964613711"/>
    <n v="33762"/>
    <x v="1"/>
  </r>
  <r>
    <d v="2024-06-17T00:00:00"/>
    <s v="Instagram"/>
    <n v="6656"/>
    <n v="978"/>
    <n v="176196"/>
    <n v="60.425889350496043"/>
    <n v="27081"/>
    <x v="1"/>
  </r>
  <r>
    <d v="2024-06-24T00:00:00"/>
    <s v="Twitter"/>
    <n v="9984"/>
    <n v="1330"/>
    <n v="184850"/>
    <n v="57.524479307546663"/>
    <n v="44947"/>
    <x v="1"/>
  </r>
  <r>
    <d v="2024-06-24T00:00:00"/>
    <s v="Instagram"/>
    <n v="5259"/>
    <n v="374"/>
    <n v="189735"/>
    <n v="14.827522597306769"/>
    <n v="19596"/>
    <x v="1"/>
  </r>
  <r>
    <d v="2024-06-24T00:00:00"/>
    <s v="YouTube"/>
    <n v="9286"/>
    <n v="633"/>
    <n v="198388"/>
    <n v="5.4343004617214756"/>
    <n v="48019"/>
    <x v="1"/>
  </r>
  <r>
    <d v="2024-06-24T00:00:00"/>
    <s v="Twitter"/>
    <n v="6901"/>
    <n v="471"/>
    <n v="204818"/>
    <n v="60.827661631301943"/>
    <n v="52003"/>
    <x v="1"/>
  </r>
  <r>
    <d v="2024-07-01T00:00:00"/>
    <s v="LinkedIn"/>
    <n v="5917"/>
    <n v="475"/>
    <n v="210260"/>
    <n v="17.894035955483691"/>
    <n v="28313"/>
    <x v="1"/>
  </r>
  <r>
    <d v="2024-07-01T00:00:00"/>
    <s v="Twitter"/>
    <n v="9429"/>
    <n v="966"/>
    <n v="218723"/>
    <n v="7.6914636320825887"/>
    <n v="57639"/>
    <x v="1"/>
  </r>
  <r>
    <d v="2024-07-01T00:00:00"/>
    <s v="Instagram"/>
    <n v="3530"/>
    <n v="328"/>
    <n v="221925"/>
    <n v="12.8372197814577"/>
    <n v="11013"/>
    <x v="1"/>
  </r>
  <r>
    <d v="2024-07-01T00:00:00"/>
    <s v="Instagram"/>
    <n v="2960"/>
    <n v="234"/>
    <n v="224651"/>
    <n v="17.41278694508371"/>
    <n v="59378"/>
    <x v="1"/>
  </r>
  <r>
    <d v="2024-07-08T00:00:00"/>
    <s v="Twitter"/>
    <n v="8045"/>
    <n v="894"/>
    <n v="231802"/>
    <n v="47.634187798207087"/>
    <n v="33705"/>
    <x v="1"/>
  </r>
  <r>
    <d v="2024-07-08T00:00:00"/>
    <s v="LinkedIn"/>
    <n v="2048"/>
    <n v="130"/>
    <n v="233720"/>
    <n v="39.284614068115687"/>
    <n v="11828"/>
    <x v="1"/>
  </r>
  <r>
    <d v="2024-07-08T00:00:00"/>
    <s v="LinkedIn"/>
    <n v="6772"/>
    <n v="536"/>
    <n v="239956"/>
    <n v="9.8205504342462788"/>
    <n v="17909"/>
    <x v="1"/>
  </r>
  <r>
    <d v="2024-07-08T00:00:00"/>
    <s v="LinkedIn"/>
    <n v="3529"/>
    <n v="305"/>
    <n v="243180"/>
    <n v="41.606628834608109"/>
    <n v="48356"/>
    <x v="1"/>
  </r>
  <r>
    <d v="2024-07-15T00:00:00"/>
    <s v="Instagram"/>
    <n v="3964"/>
    <n v="378"/>
    <n v="246766"/>
    <n v="13.6355899921383"/>
    <n v="23109"/>
    <x v="1"/>
  </r>
  <r>
    <d v="2024-07-15T00:00:00"/>
    <s v="Twitter"/>
    <n v="8137"/>
    <n v="1045"/>
    <n v="253858"/>
    <n v="20.47246886054408"/>
    <n v="12023"/>
    <x v="1"/>
  </r>
  <r>
    <d v="2024-07-15T00:00:00"/>
    <s v="YouTube"/>
    <n v="1963"/>
    <n v="137"/>
    <n v="255684"/>
    <n v="11.2083665774941"/>
    <n v="24537"/>
    <x v="1"/>
  </r>
  <r>
    <d v="2024-07-15T00:00:00"/>
    <s v="Instagram"/>
    <n v="1536"/>
    <n v="155"/>
    <n v="257065"/>
    <n v="12.15762550327738"/>
    <n v="36661"/>
    <x v="1"/>
  </r>
  <r>
    <d v="2024-07-22T00:00:00"/>
    <s v="LinkedIn"/>
    <n v="8340"/>
    <n v="911"/>
    <n v="264494"/>
    <n v="37.302925586213682"/>
    <n v="48659"/>
    <x v="0"/>
  </r>
  <r>
    <d v="2024-07-22T00:00:00"/>
    <s v="Twitter"/>
    <n v="8179"/>
    <n v="446"/>
    <n v="272227"/>
    <n v="41.82171496581897"/>
    <n v="43848"/>
    <x v="0"/>
  </r>
  <r>
    <d v="2024-07-22T00:00:00"/>
    <s v="LinkedIn"/>
    <n v="8967"/>
    <n v="993"/>
    <n v="280201"/>
    <n v="52.792102811910027"/>
    <n v="47804"/>
    <x v="0"/>
  </r>
  <r>
    <d v="2024-07-22T00:00:00"/>
    <s v="YouTube"/>
    <n v="9734"/>
    <n v="652"/>
    <n v="289283"/>
    <n v="49.647922622483861"/>
    <n v="25379"/>
    <x v="0"/>
  </r>
  <r>
    <d v="2024-07-29T00:00:00"/>
    <s v="LinkedIn"/>
    <n v="1845"/>
    <n v="104"/>
    <n v="291024"/>
    <n v="28.158158777282971"/>
    <n v="37766"/>
    <x v="0"/>
  </r>
  <r>
    <d v="2024-07-29T00:00:00"/>
    <s v="LinkedIn"/>
    <n v="6777"/>
    <n v="981"/>
    <n v="296820"/>
    <n v="23.920557913887201"/>
    <n v="53590"/>
    <x v="0"/>
  </r>
  <r>
    <d v="2024-07-29T00:00:00"/>
    <s v="YouTube"/>
    <n v="4036"/>
    <n v="591"/>
    <n v="300265"/>
    <n v="44.219272975538267"/>
    <n v="12563"/>
    <x v="0"/>
  </r>
  <r>
    <d v="2024-07-29T00:00:00"/>
    <s v="Twitter"/>
    <n v="6947"/>
    <n v="908"/>
    <n v="306304"/>
    <n v="14.117673944839121"/>
    <n v="46060"/>
    <x v="0"/>
  </r>
  <r>
    <d v="2024-08-05T00:00:00"/>
    <s v="Instagram"/>
    <n v="3494"/>
    <n v="281"/>
    <n v="309517"/>
    <n v="27.765518533715429"/>
    <n v="39197"/>
    <x v="0"/>
  </r>
  <r>
    <d v="2024-08-05T00:00:00"/>
    <s v="Twitter"/>
    <n v="3719"/>
    <n v="222"/>
    <n v="313014"/>
    <n v="21.669318305251519"/>
    <n v="13586"/>
    <x v="0"/>
  </r>
  <r>
    <d v="2024-08-05T00:00:00"/>
    <s v="YouTube"/>
    <n v="2884"/>
    <n v="341"/>
    <n v="315557"/>
    <n v="46.999749649033298"/>
    <n v="26087"/>
    <x v="0"/>
  </r>
  <r>
    <d v="2024-08-05T00:00:00"/>
    <s v="LinkedIn"/>
    <n v="5349"/>
    <n v="502"/>
    <n v="320404"/>
    <n v="5.2152906954969351"/>
    <n v="58868"/>
    <x v="0"/>
  </r>
  <r>
    <d v="2024-08-12T00:00:00"/>
    <s v="Twitter"/>
    <n v="6179"/>
    <n v="384"/>
    <n v="326199"/>
    <n v="14.71218489327067"/>
    <n v="33225"/>
    <x v="0"/>
  </r>
  <r>
    <d v="2024-08-12T00:00:00"/>
    <s v="Instagram"/>
    <n v="7610"/>
    <n v="757"/>
    <n v="333052"/>
    <n v="44.450416151231643"/>
    <n v="39750"/>
    <x v="0"/>
  </r>
  <r>
    <d v="2024-08-12T00:00:00"/>
    <s v="YouTube"/>
    <n v="7430"/>
    <n v="397"/>
    <n v="340085"/>
    <n v="28.065042562888689"/>
    <n v="16643"/>
    <x v="0"/>
  </r>
  <r>
    <d v="2024-08-12T00:00:00"/>
    <s v="Twitter"/>
    <n v="8154"/>
    <n v="1149"/>
    <n v="347090"/>
    <n v="26.003918292085629"/>
    <n v="37523"/>
    <x v="0"/>
  </r>
  <r>
    <d v="2024-08-19T00:00:00"/>
    <s v="Instagram"/>
    <n v="7488"/>
    <n v="568"/>
    <n v="354010"/>
    <n v="13.47730290104799"/>
    <n v="46727"/>
    <x v="0"/>
  </r>
  <r>
    <d v="2024-08-19T00:00:00"/>
    <s v="YouTube"/>
    <n v="5737"/>
    <n v="666"/>
    <n v="359081"/>
    <n v="4.6034181702735593"/>
    <n v="21005"/>
    <x v="0"/>
  </r>
  <r>
    <d v="2024-08-19T00:00:00"/>
    <s v="Instagram"/>
    <n v="7525"/>
    <n v="610"/>
    <n v="365996"/>
    <n v="5.7694619613329108"/>
    <n v="53543"/>
    <x v="0"/>
  </r>
  <r>
    <d v="2024-08-19T00:00:00"/>
    <s v="YouTube"/>
    <n v="4850"/>
    <n v="494"/>
    <n v="370352"/>
    <n v="20.46539508359615"/>
    <n v="10161"/>
    <x v="0"/>
  </r>
  <r>
    <d v="2024-08-26T00:00:00"/>
    <s v="LinkedIn"/>
    <n v="1689"/>
    <n v="176"/>
    <n v="371865"/>
    <n v="38.012181840183942"/>
    <n v="26029"/>
    <x v="0"/>
  </r>
  <r>
    <d v="2024-08-26T00:00:00"/>
    <s v="Twitter"/>
    <n v="6175"/>
    <n v="422"/>
    <n v="377618"/>
    <n v="37.86101298137271"/>
    <n v="59745"/>
    <x v="0"/>
  </r>
  <r>
    <d v="2024-08-26T00:00:00"/>
    <s v="Instagram"/>
    <n v="9648"/>
    <n v="1417"/>
    <n v="385849"/>
    <n v="3.6633501706626168"/>
    <n v="24226"/>
    <x v="0"/>
  </r>
  <r>
    <d v="2024-08-26T00:00:00"/>
    <s v="YouTube"/>
    <n v="6078"/>
    <n v="775"/>
    <n v="391152"/>
    <n v="37.760512537325639"/>
    <n v="38731"/>
    <x v="0"/>
  </r>
  <r>
    <d v="2024-09-02T00:00:00"/>
    <s v="Instagram"/>
    <n v="6448"/>
    <n v="928"/>
    <n v="396672"/>
    <n v="30.118586640851881"/>
    <n v="53922"/>
    <x v="0"/>
  </r>
  <r>
    <d v="2024-09-02T00:00:00"/>
    <s v="Instagram"/>
    <n v="2179"/>
    <n v="303"/>
    <n v="398548"/>
    <n v="33.909842729106657"/>
    <n v="54848"/>
    <x v="0"/>
  </r>
  <r>
    <d v="2024-09-02T00:00:00"/>
    <s v="Twitter"/>
    <n v="7406"/>
    <n v="813"/>
    <n v="405141"/>
    <n v="24.457411123534769"/>
    <n v="13390"/>
    <x v="0"/>
  </r>
  <r>
    <d v="2024-09-02T00:00:00"/>
    <s v="LinkedIn"/>
    <n v="9591"/>
    <n v="1363"/>
    <n v="413369"/>
    <n v="10.494255737609739"/>
    <n v="15997"/>
    <x v="0"/>
  </r>
  <r>
    <d v="2024-09-09T00:00:00"/>
    <s v="Instagram"/>
    <n v="7907"/>
    <n v="465"/>
    <n v="420811"/>
    <n v="33.257448118038738"/>
    <n v="22693"/>
    <x v="0"/>
  </r>
  <r>
    <d v="2024-09-09T00:00:00"/>
    <s v="YouTube"/>
    <n v="9800"/>
    <n v="682"/>
    <n v="429929"/>
    <n v="6.2966210699906267"/>
    <n v="59815"/>
    <x v="0"/>
  </r>
  <r>
    <d v="2024-09-09T00:00:00"/>
    <s v="YouTube"/>
    <n v="2638"/>
    <n v="143"/>
    <n v="432424"/>
    <n v="6.9547481175882924"/>
    <n v="52092"/>
    <x v="0"/>
  </r>
  <r>
    <d v="2024-09-09T00:00:00"/>
    <s v="LinkedIn"/>
    <n v="6671"/>
    <n v="550"/>
    <n v="438545"/>
    <n v="17.750287883797562"/>
    <n v="10541"/>
    <x v="0"/>
  </r>
  <r>
    <d v="2024-09-16T00:00:00"/>
    <s v="YouTube"/>
    <n v="7928"/>
    <n v="704"/>
    <n v="445769"/>
    <n v="11.194362999670229"/>
    <n v="31817"/>
    <x v="0"/>
  </r>
  <r>
    <d v="2024-09-16T00:00:00"/>
    <s v="LinkedIn"/>
    <n v="2382"/>
    <n v="183"/>
    <n v="447968"/>
    <n v="4.7335970426459033"/>
    <n v="47861"/>
    <x v="0"/>
  </r>
  <r>
    <d v="2024-09-16T00:00:00"/>
    <s v="YouTube"/>
    <n v="2403"/>
    <n v="319"/>
    <n v="450052"/>
    <n v="29.92120910472568"/>
    <n v="23428"/>
    <x v="0"/>
  </r>
  <r>
    <d v="2024-09-16T00:00:00"/>
    <s v="Twitter"/>
    <n v="4292"/>
    <n v="367"/>
    <n v="453977"/>
    <n v="3.5037017293827661"/>
    <n v="53934"/>
    <x v="0"/>
  </r>
  <r>
    <d v="2024-09-23T00:00:00"/>
    <s v="Instagram"/>
    <n v="1419"/>
    <n v="110"/>
    <n v="455286"/>
    <n v="31.554451487636339"/>
    <n v="58831"/>
    <x v="0"/>
  </r>
  <r>
    <d v="2024-09-23T00:00:00"/>
    <s v="Twitter"/>
    <n v="5517"/>
    <n v="575"/>
    <n v="460228"/>
    <n v="29.45844233727631"/>
    <n v="20258"/>
    <x v="0"/>
  </r>
  <r>
    <d v="2024-09-23T00:00:00"/>
    <s v="Instagram"/>
    <n v="4302"/>
    <n v="275"/>
    <n v="464255"/>
    <n v="15.72131694865968"/>
    <n v="26044"/>
    <x v="0"/>
  </r>
  <r>
    <d v="2024-09-23T00:00:00"/>
    <s v="Instagram"/>
    <n v="8857"/>
    <n v="1153"/>
    <n v="471959"/>
    <n v="19.214592793018038"/>
    <n v="39411"/>
    <x v="0"/>
  </r>
  <r>
    <d v="2024-09-30T00:00:00"/>
    <s v="Instagram"/>
    <n v="8870"/>
    <n v="509"/>
    <n v="480320"/>
    <n v="25.077864756828781"/>
    <n v="15469"/>
    <x v="0"/>
  </r>
  <r>
    <d v="2024-09-30T00:00:00"/>
    <s v="Twitter"/>
    <n v="6693"/>
    <n v="995"/>
    <n v="486018"/>
    <n v="23.761877132122681"/>
    <n v="38854"/>
    <x v="0"/>
  </r>
  <r>
    <d v="2024-09-30T00:00:00"/>
    <s v="Instagram"/>
    <n v="1767"/>
    <n v="224"/>
    <n v="487561"/>
    <n v="13.208603641390511"/>
    <n v="16256"/>
    <x v="0"/>
  </r>
  <r>
    <d v="2024-09-30T00:00:00"/>
    <s v="Twitter"/>
    <n v="3044"/>
    <n v="212"/>
    <n v="490393"/>
    <n v="8.5343795690395261"/>
    <n v="20720"/>
    <x v="0"/>
  </r>
  <r>
    <d v="2024-10-07T00:00:00"/>
    <s v="LinkedIn"/>
    <n v="2549"/>
    <n v="128"/>
    <n v="492814"/>
    <n v="12.734216154573531"/>
    <n v="43937"/>
    <x v="2"/>
  </r>
  <r>
    <d v="2024-10-07T00:00:00"/>
    <s v="YouTube"/>
    <n v="7140"/>
    <n v="939"/>
    <n v="499015"/>
    <n v="25.120888149654821"/>
    <n v="43598"/>
    <x v="2"/>
  </r>
  <r>
    <d v="2024-10-07T00:00:00"/>
    <s v="YouTube"/>
    <n v="4716"/>
    <n v="569"/>
    <n v="503162"/>
    <n v="25.64820077827817"/>
    <n v="11651"/>
    <x v="2"/>
  </r>
  <r>
    <d v="2024-10-07T00:00:00"/>
    <s v="Instagram"/>
    <n v="5481"/>
    <n v="673"/>
    <n v="507970"/>
    <n v="13.08758391243577"/>
    <n v="29194"/>
    <x v="2"/>
  </r>
  <r>
    <d v="2024-10-14T00:00:00"/>
    <s v="Twitter"/>
    <n v="8898"/>
    <n v="1131"/>
    <n v="515737"/>
    <n v="2.1877429775253669"/>
    <n v="35051"/>
    <x v="2"/>
  </r>
  <r>
    <d v="2024-10-14T00:00:00"/>
    <s v="YouTube"/>
    <n v="7548"/>
    <n v="433"/>
    <n v="522852"/>
    <n v="8.3562843787534522"/>
    <n v="37386"/>
    <x v="2"/>
  </r>
  <r>
    <d v="2024-10-14T00:00:00"/>
    <s v="Twitter"/>
    <n v="3293"/>
    <n v="282"/>
    <n v="525863"/>
    <n v="27.040693108281051"/>
    <n v="19518"/>
    <x v="2"/>
  </r>
  <r>
    <d v="2024-10-14T00:00:00"/>
    <s v="Twitter"/>
    <n v="5837"/>
    <n v="359"/>
    <n v="531341"/>
    <n v="6.8073045370110723"/>
    <n v="56026"/>
    <x v="2"/>
  </r>
  <r>
    <d v="2024-10-21T00:00:00"/>
    <s v="Instagram"/>
    <n v="8758"/>
    <n v="1193"/>
    <n v="538906"/>
    <n v="3.4213758985797149"/>
    <n v="26184"/>
    <x v="2"/>
  </r>
  <r>
    <d v="2024-10-21T00:00:00"/>
    <s v="YouTube"/>
    <n v="7793"/>
    <n v="875"/>
    <n v="545824"/>
    <n v="5.5136820660139527"/>
    <n v="43787"/>
    <x v="2"/>
  </r>
  <r>
    <d v="2024-10-21T00:00:00"/>
    <s v="Instagram"/>
    <n v="8638"/>
    <n v="717"/>
    <n v="553745"/>
    <n v="26.921416897669499"/>
    <n v="31621"/>
    <x v="2"/>
  </r>
  <r>
    <d v="2024-10-21T00:00:00"/>
    <s v="Instagram"/>
    <n v="8993"/>
    <n v="506"/>
    <n v="562232"/>
    <n v="3.5131404829323132"/>
    <n v="20028"/>
    <x v="2"/>
  </r>
  <r>
    <d v="2024-10-28T00:00:00"/>
    <s v="YouTube"/>
    <n v="7007"/>
    <n v="568"/>
    <n v="568671"/>
    <n v="11.50507059442103"/>
    <n v="22448"/>
    <x v="2"/>
  </r>
  <r>
    <d v="2024-10-28T00:00:00"/>
    <s v="YouTube"/>
    <n v="6542"/>
    <n v="539"/>
    <n v="574674"/>
    <n v="6.4069368024305948"/>
    <n v="55253"/>
    <x v="2"/>
  </r>
  <r>
    <d v="2024-10-28T00:00:00"/>
    <s v="LinkedIn"/>
    <n v="7356"/>
    <n v="904"/>
    <n v="581126"/>
    <n v="17.560907617280929"/>
    <n v="44051"/>
    <x v="2"/>
  </r>
  <r>
    <d v="2024-10-28T00:00:00"/>
    <s v="LinkedIn"/>
    <n v="9433"/>
    <n v="1073"/>
    <n v="589486"/>
    <n v="7.2934726185185053"/>
    <n v="59811"/>
    <x v="2"/>
  </r>
  <r>
    <d v="2024-11-04T00:00:00"/>
    <s v="Twitter"/>
    <n v="8380"/>
    <n v="1162"/>
    <n v="596704"/>
    <n v="18.05853488496809"/>
    <n v="40447"/>
    <x v="0"/>
  </r>
  <r>
    <d v="2024-11-04T00:00:00"/>
    <s v="YouTube"/>
    <n v="3385"/>
    <n v="329"/>
    <n v="599760"/>
    <n v="17.61788048552755"/>
    <n v="28394"/>
    <x v="0"/>
  </r>
  <r>
    <d v="2024-11-04T00:00:00"/>
    <s v="LinkedIn"/>
    <n v="5268"/>
    <n v="326"/>
    <n v="604702"/>
    <n v="23.435841125050029"/>
    <n v="44501"/>
    <x v="0"/>
  </r>
  <r>
    <d v="2024-11-04T00:00:00"/>
    <s v="Twitter"/>
    <n v="1671"/>
    <n v="202"/>
    <n v="606171"/>
    <n v="15.150015424690389"/>
    <n v="40254"/>
    <x v="0"/>
  </r>
  <r>
    <d v="2024-11-11T00:00:00"/>
    <s v="Twitter"/>
    <n v="1163"/>
    <n v="146"/>
    <n v="607188"/>
    <n v="21.77776899411715"/>
    <n v="28509"/>
    <x v="0"/>
  </r>
  <r>
    <d v="2024-11-11T00:00:00"/>
    <s v="Twitter"/>
    <n v="9656"/>
    <n v="1024"/>
    <n v="615820"/>
    <n v="8.7252768666168681"/>
    <n v="58998"/>
    <x v="0"/>
  </r>
  <r>
    <d v="2024-11-11T00:00:00"/>
    <s v="LinkedIn"/>
    <n v="5592"/>
    <n v="710"/>
    <n v="620702"/>
    <n v="9.07118069540617"/>
    <n v="24472"/>
    <x v="0"/>
  </r>
  <r>
    <d v="2024-11-11T00:00:00"/>
    <s v="YouTube"/>
    <n v="5795"/>
    <n v="575"/>
    <n v="625922"/>
    <n v="3.0908004511744269"/>
    <n v="55657"/>
    <x v="0"/>
  </r>
  <r>
    <d v="2024-11-18T00:00:00"/>
    <s v="Instagram"/>
    <n v="5798"/>
    <n v="592"/>
    <n v="631128"/>
    <n v="1.6774727155188811"/>
    <n v="13471"/>
    <x v="0"/>
  </r>
  <r>
    <d v="2024-11-18T00:00:00"/>
    <s v="Twitter"/>
    <n v="7036"/>
    <n v="652"/>
    <n v="637512"/>
    <n v="3.5705994553828009"/>
    <n v="51796"/>
    <x v="0"/>
  </r>
  <r>
    <d v="2024-11-18T00:00:00"/>
    <s v="LinkedIn"/>
    <n v="3355"/>
    <n v="176"/>
    <n v="640691"/>
    <n v="12.426427091999111"/>
    <n v="40268"/>
    <x v="0"/>
  </r>
  <r>
    <d v="2024-11-18T00:00:00"/>
    <s v="LinkedIn"/>
    <n v="6887"/>
    <n v="418"/>
    <n v="647160"/>
    <n v="20.240280610668151"/>
    <n v="18329"/>
    <x v="0"/>
  </r>
  <r>
    <d v="2024-11-25T00:00:00"/>
    <s v="Instagram"/>
    <n v="8961"/>
    <n v="476"/>
    <n v="655645"/>
    <n v="15.458517947974901"/>
    <n v="44865"/>
    <x v="0"/>
  </r>
  <r>
    <d v="2024-11-25T00:00:00"/>
    <s v="Instagram"/>
    <n v="6827"/>
    <n v="775"/>
    <n v="661697"/>
    <n v="15.96622018839439"/>
    <n v="56850"/>
    <x v="0"/>
  </r>
  <r>
    <d v="2024-11-25T00:00:00"/>
    <s v="LinkedIn"/>
    <n v="9737"/>
    <n v="792"/>
    <n v="670642"/>
    <n v="5.301785453341723"/>
    <n v="56698"/>
    <x v="0"/>
  </r>
  <r>
    <d v="2024-11-25T00:00:00"/>
    <s v="YouTube"/>
    <n v="5719"/>
    <n v="576"/>
    <n v="675785"/>
    <n v="10.21656296011305"/>
    <n v="38272"/>
    <x v="0"/>
  </r>
  <r>
    <d v="2024-12-02T00:00:00"/>
    <s v="Instagram"/>
    <n v="1593"/>
    <n v="224"/>
    <n v="677154"/>
    <n v="4.1495730660972248"/>
    <n v="52845"/>
    <x v="0"/>
  </r>
  <r>
    <d v="2024-12-02T00:00:00"/>
    <s v="LinkedIn"/>
    <n v="5839"/>
    <n v="437"/>
    <n v="682556"/>
    <n v="17.44750613869045"/>
    <n v="16397"/>
    <x v="0"/>
  </r>
  <r>
    <d v="2024-12-02T00:00:00"/>
    <s v="Instagram"/>
    <n v="8394"/>
    <n v="764"/>
    <n v="690186"/>
    <n v="6.3556780346167558"/>
    <n v="42373"/>
    <x v="0"/>
  </r>
  <r>
    <d v="2024-12-02T00:00:00"/>
    <s v="YouTube"/>
    <n v="4493"/>
    <n v="564"/>
    <n v="694115"/>
    <n v="16.625487131094989"/>
    <n v="45525"/>
    <x v="0"/>
  </r>
  <r>
    <d v="2024-12-09T00:00:00"/>
    <s v="Twitter"/>
    <n v="7164"/>
    <n v="522"/>
    <n v="700757"/>
    <n v="13.449169969047761"/>
    <n v="34570"/>
    <x v="0"/>
  </r>
  <r>
    <d v="2024-12-09T00:00:00"/>
    <s v="Instagram"/>
    <n v="3672"/>
    <n v="211"/>
    <n v="704218"/>
    <n v="12.35057894004413"/>
    <n v="28284"/>
    <x v="0"/>
  </r>
  <r>
    <d v="2024-12-09T00:00:00"/>
    <s v="YouTube"/>
    <n v="5200"/>
    <n v="410"/>
    <n v="709008"/>
    <n v="12.913394489201821"/>
    <n v="28994"/>
    <x v="0"/>
  </r>
  <r>
    <d v="2024-12-09T00:00:00"/>
    <s v="LinkedIn"/>
    <n v="1016"/>
    <n v="67"/>
    <n v="709957"/>
    <n v="20.774215903216671"/>
    <n v="33284"/>
    <x v="0"/>
  </r>
  <r>
    <d v="2024-12-16T00:00:00"/>
    <s v="Instagram"/>
    <n v="4191"/>
    <n v="599"/>
    <n v="713549"/>
    <n v="11.56416728213479"/>
    <n v="27833"/>
    <x v="0"/>
  </r>
  <r>
    <d v="2024-12-16T00:00:00"/>
    <s v="Instagram"/>
    <n v="1392"/>
    <n v="182"/>
    <n v="714759"/>
    <n v="5.9603306848881932"/>
    <n v="35122"/>
    <x v="0"/>
  </r>
  <r>
    <d v="2024-12-16T00:00:00"/>
    <s v="LinkedIn"/>
    <n v="9616"/>
    <n v="1089"/>
    <n v="723286"/>
    <n v="19.25863351426683"/>
    <n v="15017"/>
    <x v="0"/>
  </r>
  <r>
    <d v="2024-12-16T00:00:00"/>
    <s v="Twitter"/>
    <n v="7272"/>
    <n v="997"/>
    <n v="729561"/>
    <n v="13.428486445958599"/>
    <n v="26370"/>
    <x v="0"/>
  </r>
  <r>
    <d v="2024-12-23T00:00:00"/>
    <s v="LinkedIn"/>
    <n v="1571"/>
    <n v="204"/>
    <n v="730928"/>
    <n v="19.449384891535139"/>
    <n v="39252"/>
    <x v="0"/>
  </r>
  <r>
    <d v="2024-12-23T00:00:00"/>
    <s v="Instagram"/>
    <n v="4631"/>
    <n v="317"/>
    <n v="735242"/>
    <n v="1.381177897889402"/>
    <n v="17999"/>
    <x v="0"/>
  </r>
  <r>
    <d v="2024-12-23T00:00:00"/>
    <s v="LinkedIn"/>
    <n v="7172"/>
    <n v="998"/>
    <n v="741416"/>
    <n v="18.0667803230575"/>
    <n v="32436"/>
    <x v="0"/>
  </r>
  <r>
    <d v="2024-12-23T00:00:00"/>
    <s v="YouTube"/>
    <n v="8177"/>
    <n v="849"/>
    <n v="748744"/>
    <n v="10.34986590877523"/>
    <n v="52963"/>
    <x v="0"/>
  </r>
  <r>
    <d v="2024-12-30T00:00:00"/>
    <s v="LinkedIn"/>
    <n v="9433"/>
    <n v="1233"/>
    <n v="756944"/>
    <n v="11.391727789638329"/>
    <n v="12096"/>
    <x v="3"/>
  </r>
  <r>
    <d v="2024-12-30T00:00:00"/>
    <s v="Instagram"/>
    <n v="4897"/>
    <n v="683"/>
    <n v="761158"/>
    <n v="15.06231294947961"/>
    <n v="58201"/>
    <x v="3"/>
  </r>
  <r>
    <d v="2024-12-30T00:00:00"/>
    <s v="LinkedIn"/>
    <n v="9123"/>
    <n v="746"/>
    <n v="769535"/>
    <n v="6.3086149427901264"/>
    <n v="35279"/>
    <x v="3"/>
  </r>
  <r>
    <d v="2024-12-30T00:00:00"/>
    <s v="Twitter"/>
    <n v="3279"/>
    <n v="200"/>
    <n v="772614"/>
    <n v="5.0212654702089274"/>
    <n v="53363"/>
    <x v="3"/>
  </r>
  <r>
    <d v="2025-01-06T00:00:00"/>
    <s v="LinkedIn"/>
    <n v="9980"/>
    <n v="726"/>
    <n v="781868"/>
    <n v="4.0220344099003924"/>
    <n v="58709"/>
    <x v="3"/>
  </r>
  <r>
    <d v="2025-01-06T00:00:00"/>
    <s v="Twitter"/>
    <n v="8451"/>
    <n v="783"/>
    <n v="789536"/>
    <n v="12.407287318121019"/>
    <n v="36201"/>
    <x v="3"/>
  </r>
  <r>
    <d v="2025-01-06T00:00:00"/>
    <s v="YouTube"/>
    <n v="9906"/>
    <n v="1305"/>
    <n v="798137"/>
    <n v="9.1811305577864442"/>
    <n v="29715"/>
    <x v="3"/>
  </r>
  <r>
    <d v="2025-01-06T00:00:00"/>
    <s v="Twitter"/>
    <n v="1775"/>
    <n v="241"/>
    <n v="799671"/>
    <n v="8.1379717408784362"/>
    <n v="39309"/>
    <x v="3"/>
  </r>
  <r>
    <d v="2025-01-13T00:00:00"/>
    <s v="LinkedIn"/>
    <n v="7869"/>
    <n v="398"/>
    <n v="807142"/>
    <n v="15.211945357818079"/>
    <n v="25078"/>
    <x v="0"/>
  </r>
  <r>
    <d v="2025-01-13T00:00:00"/>
    <s v="Instagram"/>
    <n v="3247"/>
    <n v="328"/>
    <n v="810061"/>
    <n v="13.941172331466401"/>
    <n v="15105"/>
    <x v="0"/>
  </r>
  <r>
    <d v="2025-01-13T00:00:00"/>
    <s v="Twitter"/>
    <n v="8088"/>
    <n v="742"/>
    <n v="817407"/>
    <n v="14.664542877660701"/>
    <n v="39312"/>
    <x v="0"/>
  </r>
  <r>
    <d v="2025-01-13T00:00:00"/>
    <s v="YouTube"/>
    <n v="1078"/>
    <n v="77"/>
    <n v="818408"/>
    <n v="18.236747441373989"/>
    <n v="12839"/>
    <x v="0"/>
  </r>
  <r>
    <d v="2025-01-20T00:00:00"/>
    <s v="Twitter"/>
    <n v="9080"/>
    <n v="562"/>
    <n v="826926"/>
    <n v="7.1083748727213809"/>
    <n v="13384"/>
    <x v="0"/>
  </r>
  <r>
    <d v="2025-01-20T00:00:00"/>
    <s v="Twitter"/>
    <n v="8099"/>
    <n v="678"/>
    <n v="834347"/>
    <n v="7.6464588474579518"/>
    <n v="53619"/>
    <x v="0"/>
  </r>
  <r>
    <d v="2025-01-20T00:00:00"/>
    <s v="Twitter"/>
    <n v="4926"/>
    <n v="710"/>
    <n v="838563"/>
    <n v="12.96217457722318"/>
    <n v="52821"/>
    <x v="0"/>
  </r>
  <r>
    <d v="2025-01-20T00:00:00"/>
    <s v="YouTube"/>
    <n v="8340"/>
    <n v="686"/>
    <n v="846217"/>
    <n v="7.201344336027284"/>
    <n v="23493"/>
    <x v="0"/>
  </r>
  <r>
    <d v="2025-01-27T00:00:00"/>
    <s v="LinkedIn"/>
    <n v="8083"/>
    <n v="823"/>
    <n v="853477"/>
    <n v="4.6300017457998282"/>
    <n v="27069"/>
    <x v="0"/>
  </r>
  <r>
    <d v="2025-01-27T00:00:00"/>
    <s v="Twitter"/>
    <n v="7230"/>
    <n v="869"/>
    <n v="859838"/>
    <n v="7.0117859410726204"/>
    <n v="56907"/>
    <x v="0"/>
  </r>
  <r>
    <d v="2025-01-27T00:00:00"/>
    <s v="Twitter"/>
    <n v="5940"/>
    <n v="512"/>
    <n v="865266"/>
    <n v="15.7972230504839"/>
    <n v="17531"/>
    <x v="0"/>
  </r>
  <r>
    <d v="2025-01-27T00:00:00"/>
    <s v="Instagram"/>
    <n v="4271"/>
    <n v="628"/>
    <n v="868909"/>
    <n v="11.124410036033691"/>
    <n v="47051"/>
    <x v="0"/>
  </r>
  <r>
    <d v="2025-02-03T00:00:00"/>
    <s v="YouTube"/>
    <n v="4456"/>
    <n v="651"/>
    <n v="872714"/>
    <n v="9.5052903929580594"/>
    <n v="17736"/>
    <x v="0"/>
  </r>
  <r>
    <d v="2025-02-03T00:00:00"/>
    <s v="Twitter"/>
    <n v="8788"/>
    <n v="660"/>
    <n v="880842"/>
    <n v="3.7175793161543158"/>
    <n v="17710"/>
    <x v="0"/>
  </r>
  <r>
    <d v="2025-02-03T00:00:00"/>
    <s v="YouTube"/>
    <n v="9599"/>
    <n v="957"/>
    <n v="889484"/>
    <n v="8.768004820772493"/>
    <n v="11619"/>
    <x v="0"/>
  </r>
  <r>
    <d v="2025-02-03T00:00:00"/>
    <s v="Twitter"/>
    <n v="8650"/>
    <n v="692"/>
    <n v="897442"/>
    <n v="7.6673478620345374"/>
    <n v="23975"/>
    <x v="0"/>
  </r>
  <r>
    <d v="2025-02-10T00:00:00"/>
    <s v="LinkedIn"/>
    <n v="3711"/>
    <n v="291"/>
    <n v="900862"/>
    <n v="14.24879726306582"/>
    <n v="55603"/>
    <x v="0"/>
  </r>
  <r>
    <d v="2025-02-10T00:00:00"/>
    <s v="LinkedIn"/>
    <n v="2668"/>
    <n v="143"/>
    <n v="903387"/>
    <n v="15.903372530266649"/>
    <n v="33252"/>
    <x v="0"/>
  </r>
  <r>
    <d v="2025-02-10T00:00:00"/>
    <s v="Twitter"/>
    <n v="1147"/>
    <n v="127"/>
    <n v="904407"/>
    <n v="1.3997016829812241"/>
    <n v="25261"/>
    <x v="0"/>
  </r>
  <r>
    <d v="2025-02-10T00:00:00"/>
    <s v="LinkedIn"/>
    <n v="7420"/>
    <n v="743"/>
    <n v="911084"/>
    <n v="10.593534734448189"/>
    <n v="11431"/>
    <x v="0"/>
  </r>
  <r>
    <d v="2025-02-17T00:00:00"/>
    <s v="Twitter"/>
    <n v="1365"/>
    <n v="75"/>
    <n v="912374"/>
    <n v="9.2688963078737441"/>
    <n v="19067"/>
    <x v="0"/>
  </r>
  <r>
    <d v="2025-02-17T00:00:00"/>
    <s v="LinkedIn"/>
    <n v="5531"/>
    <n v="430"/>
    <n v="917475"/>
    <n v="2.7289026948963189"/>
    <n v="47481"/>
    <x v="0"/>
  </r>
  <r>
    <d v="2025-02-17T00:00:00"/>
    <s v="Instagram"/>
    <n v="6330"/>
    <n v="891"/>
    <n v="922914"/>
    <n v="14.789893749580139"/>
    <n v="37037"/>
    <x v="0"/>
  </r>
  <r>
    <d v="2025-02-17T00:00:00"/>
    <s v="Instagram"/>
    <n v="6510"/>
    <n v="481"/>
    <n v="928943"/>
    <n v="2.3800168578696428"/>
    <n v="19557"/>
    <x v="0"/>
  </r>
  <r>
    <d v="2025-02-24T00:00:00"/>
    <s v="Instagram"/>
    <n v="9754"/>
    <n v="629"/>
    <n v="938068"/>
    <n v="3.4123325814333292"/>
    <n v="19435"/>
    <x v="0"/>
  </r>
  <r>
    <d v="2025-02-24T00:00:00"/>
    <s v="YouTube"/>
    <n v="9964"/>
    <n v="985"/>
    <n v="947047"/>
    <n v="1.9837452629066989"/>
    <n v="47766"/>
    <x v="0"/>
  </r>
  <r>
    <d v="2025-02-24T00:00:00"/>
    <s v="YouTube"/>
    <n v="7493"/>
    <n v="1113"/>
    <n v="953427"/>
    <n v="15.684892498324469"/>
    <n v="10162"/>
    <x v="0"/>
  </r>
  <r>
    <d v="2025-02-24T00:00:00"/>
    <s v="Instagram"/>
    <n v="6439"/>
    <n v="477"/>
    <n v="959389"/>
    <n v="7.4744446725989153"/>
    <n v="44742"/>
    <x v="0"/>
  </r>
  <r>
    <d v="2025-03-03T00:00:00"/>
    <s v="YouTube"/>
    <n v="7511"/>
    <n v="880"/>
    <n v="966020"/>
    <n v="4.6083932009689246"/>
    <n v="29675"/>
    <x v="4"/>
  </r>
  <r>
    <d v="2025-03-03T00:00:00"/>
    <s v="LinkedIn"/>
    <n v="8504"/>
    <n v="1072"/>
    <n v="973452"/>
    <n v="6.5651927367759271"/>
    <n v="18461"/>
    <x v="4"/>
  </r>
  <r>
    <d v="2025-03-03T00:00:00"/>
    <s v="Twitter"/>
    <n v="2246"/>
    <n v="165"/>
    <n v="975533"/>
    <n v="2.9062061457685191"/>
    <n v="27015"/>
    <x v="4"/>
  </r>
  <r>
    <d v="2025-03-03T00:00:00"/>
    <s v="Twitter"/>
    <n v="4839"/>
    <n v="594"/>
    <n v="979778"/>
    <n v="2.5803804535313102"/>
    <n v="42591"/>
    <x v="4"/>
  </r>
  <r>
    <d v="2025-03-10T00:00:00"/>
    <s v="Twitter"/>
    <n v="9551"/>
    <n v="828"/>
    <n v="988501"/>
    <n v="1.525036393488727"/>
    <n v="38047"/>
    <x v="4"/>
  </r>
  <r>
    <d v="2025-03-10T00:00:00"/>
    <s v="Instagram"/>
    <n v="3376"/>
    <n v="382"/>
    <n v="991495"/>
    <n v="3.8694093263203548"/>
    <n v="44782"/>
    <x v="4"/>
  </r>
  <r>
    <d v="2025-03-10T00:00:00"/>
    <s v="YouTube"/>
    <n v="4009"/>
    <n v="454"/>
    <n v="995050"/>
    <n v="2.1106477061454201"/>
    <n v="19833"/>
    <x v="4"/>
  </r>
  <r>
    <d v="2025-03-10T00:00:00"/>
    <s v="LinkedIn"/>
    <n v="2827"/>
    <n v="292"/>
    <n v="997585"/>
    <n v="2.4004972007397871"/>
    <n v="17896"/>
    <x v="4"/>
  </r>
  <r>
    <d v="2025-03-17T00:00:00"/>
    <s v="LinkedIn"/>
    <n v="7979"/>
    <n v="470"/>
    <n v="1005094"/>
    <n v="10.43086517280971"/>
    <n v="42972"/>
    <x v="4"/>
  </r>
  <r>
    <d v="2025-03-17T00:00:00"/>
    <s v="Instagram"/>
    <n v="9569"/>
    <n v="1277"/>
    <n v="1013386"/>
    <n v="12.45517502708741"/>
    <n v="59733"/>
    <x v="4"/>
  </r>
  <r>
    <d v="2025-03-17T00:00:00"/>
    <s v="LinkedIn"/>
    <n v="5285"/>
    <n v="433"/>
    <n v="1018238"/>
    <n v="8.7022876773406619"/>
    <n v="51800"/>
    <x v="4"/>
  </r>
  <r>
    <d v="2025-03-17T00:00:00"/>
    <s v="LinkedIn"/>
    <n v="7910"/>
    <n v="543"/>
    <n v="1025605"/>
    <n v="6.0590578244060822"/>
    <n v="40508"/>
    <x v="4"/>
  </r>
  <r>
    <d v="2025-03-24T00:00:00"/>
    <s v="LinkedIn"/>
    <n v="9561"/>
    <n v="517"/>
    <n v="1034649"/>
    <n v="6.4086467971263694"/>
    <n v="15347"/>
    <x v="4"/>
  </r>
  <r>
    <d v="2025-03-24T00:00:00"/>
    <s v="LinkedIn"/>
    <n v="3196"/>
    <n v="348"/>
    <n v="1037497"/>
    <n v="14.03040201562029"/>
    <n v="40314"/>
    <x v="4"/>
  </r>
  <r>
    <d v="2025-03-24T00:00:00"/>
    <s v="YouTube"/>
    <n v="4747"/>
    <n v="558"/>
    <n v="1041686"/>
    <n v="5.7680529449373434"/>
    <n v="12643"/>
    <x v="4"/>
  </r>
  <r>
    <d v="2025-03-24T00:00:00"/>
    <s v="LinkedIn"/>
    <n v="9843"/>
    <n v="508"/>
    <n v="1051021"/>
    <n v="4.2080986012648651"/>
    <n v="50785"/>
    <x v="4"/>
  </r>
  <r>
    <d v="2025-03-31T00:00:00"/>
    <s v="Twitter"/>
    <n v="6978"/>
    <n v="706"/>
    <n v="1057293"/>
    <n v="5.057443868445171"/>
    <n v="28681"/>
    <x v="4"/>
  </r>
  <r>
    <d v="2025-03-31T00:00:00"/>
    <s v="Instagram"/>
    <n v="6607"/>
    <n v="479"/>
    <n v="1063421"/>
    <n v="5.5892257158735816"/>
    <n v="48328"/>
    <x v="4"/>
  </r>
  <r>
    <d v="2025-03-31T00:00:00"/>
    <s v="YouTube"/>
    <n v="1769"/>
    <n v="202"/>
    <n v="1064988"/>
    <n v="6.5457075572682513"/>
    <n v="25892"/>
    <x v="4"/>
  </r>
  <r>
    <d v="2025-03-31T00:00:00"/>
    <s v="LinkedIn"/>
    <n v="1780"/>
    <n v="120"/>
    <n v="1066648"/>
    <n v="13.86474263299608"/>
    <n v="57299"/>
    <x v="4"/>
  </r>
  <r>
    <d v="2025-04-07T00:00:00"/>
    <s v="YouTube"/>
    <n v="7303"/>
    <n v="869"/>
    <n v="1073082"/>
    <n v="8.1237966902808925"/>
    <n v="27073"/>
    <x v="0"/>
  </r>
  <r>
    <d v="2025-04-07T00:00:00"/>
    <s v="LinkedIn"/>
    <n v="4983"/>
    <n v="441"/>
    <n v="1077624"/>
    <n v="6.8954477628560609"/>
    <n v="46768"/>
    <x v="0"/>
  </r>
  <r>
    <d v="2025-04-07T00:00:00"/>
    <s v="Twitter"/>
    <n v="9714"/>
    <n v="1395"/>
    <n v="1085943"/>
    <n v="5.2243073531483697"/>
    <n v="40682"/>
    <x v="0"/>
  </r>
  <r>
    <d v="2025-04-07T00:00:00"/>
    <s v="Instagram"/>
    <n v="1521"/>
    <n v="96"/>
    <n v="1087368"/>
    <n v="12.709772588488899"/>
    <n v="42262"/>
    <x v="0"/>
  </r>
  <r>
    <d v="2025-04-14T00:00:00"/>
    <s v="LinkedIn"/>
    <n v="8569"/>
    <n v="720"/>
    <n v="1095217"/>
    <n v="9.589697749395782"/>
    <n v="41358"/>
    <x v="0"/>
  </r>
  <r>
    <d v="2025-04-14T00:00:00"/>
    <s v="LinkedIn"/>
    <n v="6784"/>
    <n v="416"/>
    <n v="1101585"/>
    <n v="9.3041390360253633"/>
    <n v="24289"/>
    <x v="0"/>
  </r>
  <r>
    <d v="2025-04-14T00:00:00"/>
    <s v="LinkedIn"/>
    <n v="5583"/>
    <n v="795"/>
    <n v="1106373"/>
    <n v="12.21550055903389"/>
    <n v="59823"/>
    <x v="0"/>
  </r>
  <r>
    <d v="2025-04-14T00:00:00"/>
    <s v="LinkedIn"/>
    <n v="6946"/>
    <n v="956"/>
    <n v="1112363"/>
    <n v="1.64146056637986"/>
    <n v="17927"/>
    <x v="0"/>
  </r>
  <r>
    <d v="2025-04-21T00:00:00"/>
    <s v="Instagram"/>
    <n v="5941"/>
    <n v="450"/>
    <n v="1117854"/>
    <n v="12.414411899944"/>
    <n v="58330"/>
    <x v="0"/>
  </r>
  <r>
    <d v="2025-04-21T00:00:00"/>
    <s v="Instagram"/>
    <n v="7267"/>
    <n v="842"/>
    <n v="1124279"/>
    <n v="2.2102165031989389"/>
    <n v="11171"/>
    <x v="0"/>
  </r>
  <r>
    <d v="2025-04-21T00:00:00"/>
    <s v="Twitter"/>
    <n v="8128"/>
    <n v="1070"/>
    <n v="1131337"/>
    <n v="8.1114645768679008"/>
    <n v="21918"/>
    <x v="0"/>
  </r>
  <r>
    <d v="2025-04-21T00:00:00"/>
    <s v="Instagram"/>
    <n v="3461"/>
    <n v="365"/>
    <n v="1134433"/>
    <n v="10.23489267325616"/>
    <n v="51903"/>
    <x v="0"/>
  </r>
  <r>
    <d v="2025-04-28T00:00:00"/>
    <s v="LinkedIn"/>
    <n v="1685"/>
    <n v="173"/>
    <n v="1135945"/>
    <n v="8.7776256772995165"/>
    <n v="49110"/>
    <x v="0"/>
  </r>
  <r>
    <d v="2025-04-28T00:00:00"/>
    <s v="Twitter"/>
    <n v="3160"/>
    <n v="234"/>
    <n v="1138871"/>
    <n v="5.6959041015180816"/>
    <n v="21929"/>
    <x v="0"/>
  </r>
  <r>
    <d v="2025-04-28T00:00:00"/>
    <s v="Twitter"/>
    <n v="8031"/>
    <n v="476"/>
    <n v="1146426"/>
    <n v="11.940413075069831"/>
    <n v="12539"/>
    <x v="0"/>
  </r>
  <r>
    <d v="2025-04-28T00:00:00"/>
    <s v="Twitter"/>
    <n v="6341"/>
    <n v="885"/>
    <n v="1151882"/>
    <n v="6.3457020771224837"/>
    <n v="46727"/>
    <x v="0"/>
  </r>
  <r>
    <d v="2025-05-05T00:00:00"/>
    <s v="LinkedIn"/>
    <n v="1038"/>
    <n v="145"/>
    <n v="1152775"/>
    <n v="11.093752033137431"/>
    <n v="55951"/>
    <x v="0"/>
  </r>
  <r>
    <d v="2025-05-05T00:00:00"/>
    <s v="YouTube"/>
    <n v="5875"/>
    <n v="665"/>
    <n v="1157985"/>
    <n v="6.9871371390821126"/>
    <n v="32669"/>
    <x v="0"/>
  </r>
  <r>
    <d v="2025-05-05T00:00:00"/>
    <s v="LinkedIn"/>
    <n v="2256"/>
    <n v="189"/>
    <n v="1160052"/>
    <n v="2.8935771844710412"/>
    <n v="15432"/>
    <x v="0"/>
  </r>
  <r>
    <d v="2025-05-05T00:00:00"/>
    <s v="Instagram"/>
    <n v="8697"/>
    <n v="738"/>
    <n v="1168011"/>
    <n v="3.8777032065622672"/>
    <n v="30644"/>
    <x v="0"/>
  </r>
  <r>
    <d v="2025-05-12T00:00:00"/>
    <s v="Instagram"/>
    <n v="3196"/>
    <n v="391"/>
    <n v="1170816"/>
    <n v="7.2439221876024931"/>
    <n v="28745"/>
    <x v="0"/>
  </r>
  <r>
    <d v="2025-05-12T00:00:00"/>
    <s v="LinkedIn"/>
    <n v="8165"/>
    <n v="1140"/>
    <n v="1177841"/>
    <n v="9.095964565675672"/>
    <n v="38228"/>
    <x v="0"/>
  </r>
  <r>
    <d v="2025-05-12T00:00:00"/>
    <s v="LinkedIn"/>
    <n v="1301"/>
    <n v="180"/>
    <n v="1178962"/>
    <n v="5.2275645864752214"/>
    <n v="44521"/>
    <x v="0"/>
  </r>
  <r>
    <d v="2025-05-12T00:00:00"/>
    <s v="Twitter"/>
    <n v="8527"/>
    <n v="1091"/>
    <n v="1186398"/>
    <n v="1.676081719625286"/>
    <n v="417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BCA76-2F81-44FC-B7C0-26AB8D73C33D}" name="PivotTable4" cacheId="6" applyNumberFormats="0" applyBorderFormats="0" applyFontFormats="0" applyPatternFormats="0" applyAlignmentFormats="0" applyWidthHeightFormats="1" dataCaption="Values" tag="55321777-cf99-479c-a22c-12c68541567b" updatedVersion="8" minRefreshableVersion="3" useAutoFormatting="1" subtotalHiddenItems="1" rowGrandTotals="0" colGrandTotals="0" itemPrintTitles="1" createdVersion="8" indent="0" outline="1" outlineData="1" multipleFieldFilters="0">
  <location ref="A3:B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9"/>
    </i>
    <i>
      <x v="5"/>
    </i>
    <i>
      <x/>
    </i>
    <i>
      <x v="2"/>
    </i>
    <i>
      <x v="3"/>
    </i>
    <i>
      <x v="1"/>
    </i>
    <i>
      <x v="8"/>
    </i>
    <i>
      <x v="6"/>
    </i>
    <i>
      <x v="7"/>
    </i>
    <i>
      <x v="4"/>
    </i>
  </rowItems>
  <colItems count="1">
    <i/>
  </colItems>
  <dataFields count="1">
    <dataField name="Average of Engagement Rate" fld="1" subtotal="average" baseField="0" baseItem="9" numFmtId="166"/>
  </dataFields>
  <formats count="2">
    <format dxfId="19">
      <pivotArea collapsedLevelsAreSubtotals="1" fieldPosition="0">
        <references count="1">
          <reference field="0" count="1">
            <x v="7"/>
          </reference>
        </references>
      </pivotArea>
    </format>
    <format dxfId="18">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caption="Sum of Engagemen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4">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B45F5-0746-47C4-BE42-6651281B1632}" name="PivotTable7" cacheId="4" applyNumberFormats="0" applyBorderFormats="0" applyFontFormats="0" applyPatternFormats="0" applyAlignmentFormats="0" applyWidthHeightFormats="1" dataCaption="Values" tag="df1c9d07-9f67-46ea-8288-17b6eb737117" updatedVersion="8" minRefreshableVersion="3" useAutoFormatting="1" subtotalHiddenItems="1" itemPrintTitles="1" createdVersion="8" indent="0" outline="1" outlineData="1" multipleFieldFilters="0">
  <location ref="A3:D24"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3">
    <i>
      <x/>
    </i>
    <i i="1">
      <x v="1"/>
    </i>
    <i i="2">
      <x v="2"/>
    </i>
  </colItems>
  <dataFields count="3">
    <dataField name="Sum of Likes" fld="2" baseField="0" baseItem="0"/>
    <dataField name="Sum of Shares" fld="3" baseField="0" baseItem="0"/>
    <dataField name="Sum of Comments" fld="4"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3E657C-644C-4643-86E9-6F586D6231E0}" name="PivotTable1" cacheId="7" applyNumberFormats="0" applyBorderFormats="0" applyFontFormats="0" applyPatternFormats="0" applyAlignmentFormats="0" applyWidthHeightFormats="1" dataCaption="Values" tag="3ab2ad8c-315e-4209-96d0-f165ce947248" updatedVersion="8" minRefreshableVersion="3" useAutoFormatting="1" subtotalHiddenItems="1" rowGrandTotals="0" colGrandTotals="0" itemPrintTitles="1" createdVersion="5" indent="0" outline="1" outlineData="1" multipleFieldFilters="0">
  <location ref="A3:B22"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x v="18"/>
    </i>
  </rowItems>
  <colItems count="1">
    <i/>
  </colItems>
  <dataFields count="1">
    <dataField name="Average of Clicks" fld="1" subtotal="average" baseField="0" baseItem="6" numFmtId="2"/>
  </dataFields>
  <formats count="1">
    <format dxfId="17">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Clicks"/>
    <pivotHierarchy dragToData="1" caption="Average of Clicks"/>
    <pivotHierarchy dragToData="1"/>
    <pivotHierarchy dragToData="1"/>
    <pivotHierarchy dragToData="1"/>
    <pivotHierarchy dragToData="1"/>
    <pivotHierarchy dragToData="1"/>
    <pivotHierarchy dragToData="1"/>
    <pivotHierarchy dragToData="1" caption="Count of 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9F2DC2-AEA9-401D-8B48-0D7794EAED18}" name="PivotTable1" cacheId="8" applyNumberFormats="0" applyBorderFormats="0" applyFontFormats="0" applyPatternFormats="0" applyAlignmentFormats="0" applyWidthHeightFormats="1" dataCaption="Values" tag="24425344-307f-4871-af66-7cc0c659ed98" updatedVersion="8" minRefreshableVersion="3" useAutoFormatting="1" subtotalHiddenItems="1" rowGrandTotals="0" colGrandTotals="0" itemPrintTitles="1" createdVersion="8" indent="0" outline="1" outlineData="1" multipleFieldFilters="0" chartFormat="4">
  <location ref="A3:B7"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3"/>
    </i>
    <i>
      <x v="2"/>
    </i>
    <i>
      <x/>
    </i>
    <i>
      <x v="1"/>
    </i>
  </rowItems>
  <colItems count="1">
    <i/>
  </colItems>
  <dataFields count="1">
    <dataField name="Average of Engagement_Rate" fld="1" subtotal="average" baseField="0" baseItem="0"/>
  </dataFields>
  <formats count="1">
    <format dxfId="16">
      <pivotArea outline="0" collapsedLevelsAreSubtotals="1" fieldPosition="0"/>
    </format>
  </formats>
  <chartFormats count="5">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0" count="1" selected="0">
            <x v="3"/>
          </reference>
        </references>
      </pivotArea>
    </chartFormat>
    <chartFormat chart="0" format="12">
      <pivotArea type="data" outline="0" fieldPosition="0">
        <references count="2">
          <reference field="4294967294" count="1" selected="0">
            <x v="0"/>
          </reference>
          <reference field="0" count="1" selected="0">
            <x v="2"/>
          </reference>
        </references>
      </pivotArea>
    </chartFormat>
    <chartFormat chart="0" format="13">
      <pivotArea type="data" outline="0" fieldPosition="0">
        <references count="2">
          <reference field="4294967294" count="1" selected="0">
            <x v="0"/>
          </reference>
          <reference field="0" count="1" selected="0">
            <x v="0"/>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pivotHierarchy dragToData="1"/>
    <pivotHierarchy dragToData="1"/>
    <pivotHierarchy dragToData="1"/>
    <pivotHierarchy dragToData="1"/>
    <pivotHierarchy dragToData="1" caption="Sum of Engagement_Rate"/>
    <pivotHierarchy dragToData="1"/>
    <pivotHierarchy dragToData="1"/>
    <pivotHierarchy dragToData="1"/>
    <pivotHierarchy dragToData="1" caption="Count of Engagement_Rate"/>
    <pivotHierarchy dragToData="1" caption="Average of Engagement_Rat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activeTabTopLevelEntity name="[Posts]"/>
        <x15:activeTabTopLevelEntity name="[Campaign Meta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9358BD-5CF2-4775-908C-7EF0AA81DC71}"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A3:B7"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1"/>
  </rowFields>
  <rowItems count="4">
    <i>
      <x v="2"/>
    </i>
    <i>
      <x v="1"/>
    </i>
    <i>
      <x/>
    </i>
    <i>
      <x v="3"/>
    </i>
  </rowItems>
  <colItems count="1">
    <i/>
  </colItems>
  <dataFields count="1">
    <dataField name="Sum of Growth Rate" fld="7"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B740E2-9B05-4595-952F-835150E3B454}" name="PivotTable6" cacheId="9" applyNumberFormats="0" applyBorderFormats="0" applyFontFormats="0" applyPatternFormats="0" applyAlignmentFormats="0" applyWidthHeightFormats="1" dataCaption="Values" tag="786786d9-394c-4fba-a857-7a6062d077fd" updatedVersion="8" minRefreshableVersion="3" useAutoFormatting="1" subtotalHiddenItems="1" itemPrintTitles="1" createdVersion="8" indent="0" outline="1" outlineData="1" multipleFieldFilters="0" chartFormat="13">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Engagement_Rate" fld="1" showDataAs="percentOfTotal" baseField="0" baseItem="0" numFmtId="164"/>
    <dataField name="Sum of Ad_Spend" fld="2" showDataAs="percentOfTotal" baseField="0" baseItem="2" numFmtId="10"/>
  </dataFields>
  <formats count="4">
    <format dxfId="15">
      <pivotArea outline="0" fieldPosition="0">
        <references count="1">
          <reference field="4294967294" count="1">
            <x v="0"/>
          </reference>
        </references>
      </pivotArea>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0"/>
          </reference>
        </references>
      </pivotArea>
    </format>
    <format dxfId="12">
      <pivotArea outline="0" fieldPosition="0">
        <references count="1">
          <reference field="4294967294" count="1">
            <x v="1"/>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0" count="1" selected="0">
            <x v="3"/>
          </reference>
        </references>
      </pivotArea>
    </chartFormat>
    <chartFormat chart="2" format="3">
      <pivotArea type="data" outline="0" fieldPosition="0">
        <references count="2">
          <reference field="4294967294" count="1" selected="0">
            <x v="1"/>
          </reference>
          <reference field="0" count="1" selected="0">
            <x v="2"/>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1"/>
          </reference>
          <reference field="0" count="1" selected="0">
            <x v="1"/>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1"/>
          </reference>
          <reference field="0"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Engagement_Rate"/>
    <pivotHierarchy dragToData="1"/>
    <pivotHierarchy dragToData="1"/>
    <pivotHierarchy dragToData="1"/>
    <pivotHierarchy dragToData="1"/>
    <pivotHierarchy dragToData="1" caption="Average of Engagement_Rate"/>
    <pivotHierarchy dragToData="1" caption="Sum of Ad_Spend"/>
    <pivotHierarchy dragToData="1" caption="Average of Ad_Spen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ement Summ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7BD990-B72E-4D45-8520-1D2A54DE661D}" name="PivotTable3" cacheId="10" applyNumberFormats="0" applyBorderFormats="0" applyFontFormats="0" applyPatternFormats="0" applyAlignmentFormats="0" applyWidthHeightFormats="1" dataCaption="Values" tag="aaa5a69a-4d20-405b-a00a-15aafcb8eee4" updatedVersion="8" minRefreshableVersion="3" useAutoFormatting="1" subtotalHiddenItems="1" itemPrintTitles="1" createdVersion="8" indent="0" outline="1" outlineData="1" multipleFieldFilters="0">
  <location ref="A3:B23" firstHeaderRow="1" firstDataRow="1" firstDataCol="1"/>
  <pivotFields count="2">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0">
    <i>
      <x v="2"/>
    </i>
    <i>
      <x v="17"/>
    </i>
    <i>
      <x v="6"/>
    </i>
    <i>
      <x v="8"/>
    </i>
    <i>
      <x v="5"/>
    </i>
    <i>
      <x v="4"/>
    </i>
    <i>
      <x v="12"/>
    </i>
    <i>
      <x v="13"/>
    </i>
    <i>
      <x v="15"/>
    </i>
    <i>
      <x v="3"/>
    </i>
    <i>
      <x v="10"/>
    </i>
    <i>
      <x v="14"/>
    </i>
    <i>
      <x/>
    </i>
    <i>
      <x v="7"/>
    </i>
    <i>
      <x v="9"/>
    </i>
    <i>
      <x v="11"/>
    </i>
    <i>
      <x v="16"/>
    </i>
    <i>
      <x v="18"/>
    </i>
    <i>
      <x v="1"/>
    </i>
    <i t="grand">
      <x/>
    </i>
  </rowItems>
  <colItems count="1">
    <i/>
  </colItems>
  <dataFields count="1">
    <dataField name="Count of Hashtags" fld="1" subtotal="count" baseField="0" baseItem="12"/>
  </dataFields>
  <formats count="1">
    <format dxfId="11">
      <pivotArea dataOnly="0" fieldPosition="0">
        <references count="1">
          <reference field="0" count="1">
            <x v="2"/>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6271B8-980C-421C-9B24-7BEB1E033FB0}" name="PivotTable5" cacheId="3" applyNumberFormats="0" applyBorderFormats="0" applyFontFormats="0" applyPatternFormats="0" applyAlignmentFormats="0" applyWidthHeightFormats="1" dataCaption="Values" tag="e0e05379-146b-4730-b42e-3176ec771bdf" updatedVersion="8" minRefreshableVersion="3" useAutoFormatting="1" subtotalHiddenItems="1" rowGrandTotals="0" colGrandTotals="0" itemPrintTitles="1" createdVersion="8" indent="0" outline="1" outlineData="1" multipleFieldFilters="0" chartFormat="5">
  <location ref="A3:B22"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x v="18"/>
    </i>
  </rowItems>
  <colItems count="1">
    <i/>
  </colItems>
  <dataFields count="1">
    <dataField name="Average of Engagement Rate" fld="1" subtotal="average" baseField="0" baseItem="0" numFmtId="166"/>
  </dataFields>
  <formats count="1">
    <format dxfId="10">
      <pivotArea outline="0" collapsedLevelsAreSubtotals="1" fieldPosition="0"/>
    </format>
  </formats>
  <chartFormats count="2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 chart="3" format="8">
      <pivotArea type="data" outline="0" fieldPosition="0">
        <references count="2">
          <reference field="4294967294" count="1" selected="0">
            <x v="0"/>
          </reference>
          <reference field="0" count="1" selected="0">
            <x v="7"/>
          </reference>
        </references>
      </pivotArea>
    </chartFormat>
    <chartFormat chart="3" format="9">
      <pivotArea type="data" outline="0" fieldPosition="0">
        <references count="2">
          <reference field="4294967294" count="1" selected="0">
            <x v="0"/>
          </reference>
          <reference field="0" count="1" selected="0">
            <x v="8"/>
          </reference>
        </references>
      </pivotArea>
    </chartFormat>
    <chartFormat chart="3" format="10">
      <pivotArea type="data" outline="0" fieldPosition="0">
        <references count="2">
          <reference field="4294967294" count="1" selected="0">
            <x v="0"/>
          </reference>
          <reference field="0" count="1" selected="0">
            <x v="9"/>
          </reference>
        </references>
      </pivotArea>
    </chartFormat>
    <chartFormat chart="3" format="11">
      <pivotArea type="data" outline="0" fieldPosition="0">
        <references count="2">
          <reference field="4294967294" count="1" selected="0">
            <x v="0"/>
          </reference>
          <reference field="0" count="1" selected="0">
            <x v="10"/>
          </reference>
        </references>
      </pivotArea>
    </chartFormat>
    <chartFormat chart="3" format="12">
      <pivotArea type="data" outline="0" fieldPosition="0">
        <references count="2">
          <reference field="4294967294" count="1" selected="0">
            <x v="0"/>
          </reference>
          <reference field="0" count="1" selected="0">
            <x v="11"/>
          </reference>
        </references>
      </pivotArea>
    </chartFormat>
    <chartFormat chart="3" format="13">
      <pivotArea type="data" outline="0" fieldPosition="0">
        <references count="2">
          <reference field="4294967294" count="1" selected="0">
            <x v="0"/>
          </reference>
          <reference field="0" count="1" selected="0">
            <x v="12"/>
          </reference>
        </references>
      </pivotArea>
    </chartFormat>
    <chartFormat chart="3" format="14">
      <pivotArea type="data" outline="0" fieldPosition="0">
        <references count="2">
          <reference field="4294967294" count="1" selected="0">
            <x v="0"/>
          </reference>
          <reference field="0" count="1" selected="0">
            <x v="13"/>
          </reference>
        </references>
      </pivotArea>
    </chartFormat>
    <chartFormat chart="3" format="15">
      <pivotArea type="data" outline="0" fieldPosition="0">
        <references count="2">
          <reference field="4294967294" count="1" selected="0">
            <x v="0"/>
          </reference>
          <reference field="0" count="1" selected="0">
            <x v="14"/>
          </reference>
        </references>
      </pivotArea>
    </chartFormat>
    <chartFormat chart="3" format="16">
      <pivotArea type="data" outline="0" fieldPosition="0">
        <references count="2">
          <reference field="4294967294" count="1" selected="0">
            <x v="0"/>
          </reference>
          <reference field="0" count="1" selected="0">
            <x v="15"/>
          </reference>
        </references>
      </pivotArea>
    </chartFormat>
    <chartFormat chart="3" format="17">
      <pivotArea type="data" outline="0" fieldPosition="0">
        <references count="2">
          <reference field="4294967294" count="1" selected="0">
            <x v="0"/>
          </reference>
          <reference field="0" count="1" selected="0">
            <x v="16"/>
          </reference>
        </references>
      </pivotArea>
    </chartFormat>
    <chartFormat chart="3" format="18">
      <pivotArea type="data" outline="0" fieldPosition="0">
        <references count="2">
          <reference field="4294967294" count="1" selected="0">
            <x v="0"/>
          </reference>
          <reference field="0" count="1" selected="0">
            <x v="17"/>
          </reference>
        </references>
      </pivotArea>
    </chartFormat>
    <chartFormat chart="3" format="19">
      <pivotArea type="data" outline="0" fieldPosition="0">
        <references count="2">
          <reference field="4294967294" count="1" selected="0">
            <x v="0"/>
          </reference>
          <reference field="0" count="1" selected="0">
            <x v="18"/>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1B24DC-48D2-4E1F-8262-E1A1B37CAE85}" name="PivotTable6" cacheId="2" applyNumberFormats="0" applyBorderFormats="0" applyFontFormats="0" applyPatternFormats="0" applyAlignmentFormats="0" applyWidthHeightFormats="1" dataCaption="Values" tag="d0b192c3-8589-4bde-858a-80c3f95f0492" updatedVersion="8" minRefreshableVersion="3" useAutoFormatting="1" subtotalHiddenItems="1" rowGrandTotals="0" colGrandTotals="0" itemPrintTitles="1" createdVersion="8" indent="0" outline="1" outlineData="1" multipleFieldFilters="0" chartFormat="2">
  <location ref="A3:B6" firstHeaderRow="1" firstDataRow="1" firstDataCol="1"/>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3">
    <i>
      <x/>
    </i>
    <i>
      <x v="1"/>
    </i>
    <i>
      <x v="2"/>
    </i>
  </rowItems>
  <colItems count="1">
    <i/>
  </colItems>
  <dataFields count="1">
    <dataField name="Average of Engagement Rate" fld="1" subtotal="average" baseField="0" baseItem="0" numFmtId="166"/>
  </dataFields>
  <formats count="1">
    <format dxfId="9">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CA356F-4C2B-4E28-9ABD-8B99D7EE672F}" name="PivotTable7" cacheId="5" applyNumberFormats="0" applyBorderFormats="0" applyFontFormats="0" applyPatternFormats="0" applyAlignmentFormats="0" applyWidthHeightFormats="1" dataCaption="Values" tag="a0a7544a-9ab0-49f5-aeca-95601f00af09" updatedVersion="8" minRefreshableVersion="3" useAutoFormatting="1" subtotalHiddenItems="1" rowGrandTotals="0" colGrandTotals="0" itemPrintTitles="1" createdVersion="8" indent="0" outline="1" outlineData="1" multipleFieldFilters="0" chartFormat="15">
  <location ref="A4:E9" firstHeaderRow="1" firstDataRow="2" firstDataCol="1"/>
  <pivotFields count="3">
    <pivotField axis="axisCol"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1" count="1" selected="0">
              <x v="2"/>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s>
  <rowFields count="1">
    <field x="1"/>
  </rowFields>
  <rowItems count="4">
    <i>
      <x v="2"/>
    </i>
    <i>
      <x/>
    </i>
    <i>
      <x v="1"/>
    </i>
    <i>
      <x v="3"/>
    </i>
  </rowItems>
  <colFields count="1">
    <field x="0"/>
  </colFields>
  <colItems count="4">
    <i>
      <x v="1"/>
    </i>
    <i>
      <x/>
    </i>
    <i>
      <x v="3"/>
    </i>
    <i>
      <x v="2"/>
    </i>
  </colItems>
  <dataFields count="1">
    <dataField name="Average of Engagement Rate" fld="2" subtotal="average" baseField="1" baseItem="2" numFmtId="165"/>
  </dataFields>
  <formats count="1">
    <format dxfId="8">
      <pivotArea outline="0" collapsedLevelsAreSubtotals="1"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3"/>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ngagemen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DAF14B-5102-429D-8872-33D1D9A8C66B}"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B20" firstHeaderRow="1" firstDataRow="1" firstDataCol="1"/>
  <pivotFields count="9">
    <pivotField numFmtId="14" showAll="0"/>
    <pivotField showAll="0"/>
    <pivotField showAll="0"/>
    <pivotField showAll="0"/>
    <pivotField showAll="0"/>
    <pivotField showAll="0"/>
    <pivotField showAll="0"/>
    <pivotField axis="axisRow" showAll="0" sortType="descending">
      <items count="6">
        <item x="3"/>
        <item x="1"/>
        <item x="2"/>
        <item h="1" x="0"/>
        <item x="4"/>
        <item t="default"/>
      </items>
      <autoSortScope>
        <pivotArea dataOnly="0" outline="0" fieldPosition="0">
          <references count="1">
            <reference field="4294967294" count="1" selected="0">
              <x v="0"/>
            </reference>
          </references>
        </pivotArea>
      </autoSortScope>
    </pivotField>
    <pivotField dataField="1" dragToRow="0" dragToCol="0" dragToPage="0" showAll="0" defaultSubtotal="0"/>
  </pivotFields>
  <rowFields count="1">
    <field x="7"/>
  </rowFields>
  <rowItems count="4">
    <i>
      <x v="4"/>
    </i>
    <i>
      <x v="1"/>
    </i>
    <i>
      <x v="2"/>
    </i>
    <i>
      <x/>
    </i>
  </rowItems>
  <colItems count="1">
    <i/>
  </colItems>
  <dataFields count="1">
    <dataField name="Total Followers gained" fld="8" baseField="7"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FFAF61-2B7A-4844-8D4E-963BECD6978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55" firstHeaderRow="1" firstDataRow="2"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0"/>
        <item x="3"/>
        <item x="1"/>
        <item x="2"/>
        <item t="default"/>
      </items>
    </pivotField>
    <pivotField showAll="0"/>
    <pivotField showAll="0"/>
    <pivotField showAll="0"/>
    <pivotField showAll="0"/>
    <pivotField showAll="0"/>
    <pivotField dataField="1" dragToRow="0" dragToCol="0" dragToPage="0" showAll="0" defaultSubtotal="0"/>
    <pivotField axis="axisRow" showAll="0">
      <items count="53">
        <item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x="51"/>
        <item t="default"/>
      </items>
    </pivotField>
  </pivotFields>
  <rowFields count="1">
    <field x="8"/>
  </rowFields>
  <rowItems count="5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1"/>
  </colFields>
  <colItems count="5">
    <i>
      <x/>
    </i>
    <i>
      <x v="1"/>
    </i>
    <i>
      <x v="2"/>
    </i>
    <i>
      <x v="3"/>
    </i>
    <i t="grand">
      <x/>
    </i>
  </colItems>
  <dataFields count="1">
    <dataField name="Follower Growth" fld="7" baseField="1" baseItem="0"/>
  </dataFields>
  <formats count="1">
    <format dxfId="7">
      <pivotArea field="1" grandRow="1" outline="0" collapsedLevelsAreSubtotals="1" axis="axisCol" fieldPosition="0">
        <references count="1">
          <reference field="1" count="1" selected="0">
            <x v="2"/>
          </reference>
        </references>
      </pivotArea>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0215A8-8E8C-4F97-810F-5F7881F1378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53"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dataField="1" dragToRow="0" dragToCol="0" dragToPage="0" showAll="0" defaultSubtotal="0"/>
    <pivotField axis="axisRow" showAll="0" sortType="descending">
      <items count="5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t="default"/>
      </items>
      <autoSortScope>
        <pivotArea dataOnly="0" outline="0" fieldPosition="0">
          <references count="1">
            <reference field="4294967294" count="1" selected="0">
              <x v="0"/>
            </reference>
          </references>
        </pivotArea>
      </autoSortScope>
    </pivotField>
  </pivotFields>
  <rowFields count="1">
    <field x="8"/>
  </rowFields>
  <rowItems count="50">
    <i>
      <x v="8"/>
    </i>
    <i>
      <x v="21"/>
    </i>
    <i>
      <x v="39"/>
    </i>
    <i>
      <x v="26"/>
    </i>
    <i>
      <x v="4"/>
    </i>
    <i>
      <x v="36"/>
    </i>
    <i>
      <x v="42"/>
    </i>
    <i>
      <x v="34"/>
    </i>
    <i>
      <x v="22"/>
    </i>
    <i>
      <x v="1"/>
    </i>
    <i>
      <x v="32"/>
    </i>
    <i>
      <x v="11"/>
    </i>
    <i>
      <x v="3"/>
    </i>
    <i>
      <x v="43"/>
    </i>
    <i>
      <x v="15"/>
    </i>
    <i>
      <x v="46"/>
    </i>
    <i>
      <x v="31"/>
    </i>
    <i>
      <x v="20"/>
    </i>
    <i>
      <x v="12"/>
    </i>
    <i>
      <x v="2"/>
    </i>
    <i>
      <x v="35"/>
    </i>
    <i>
      <x v="14"/>
    </i>
    <i>
      <x v="47"/>
    </i>
    <i>
      <x v="25"/>
    </i>
    <i>
      <x v="13"/>
    </i>
    <i>
      <x v="45"/>
    </i>
    <i>
      <x v="40"/>
    </i>
    <i>
      <x v="5"/>
    </i>
    <i>
      <x v="24"/>
    </i>
    <i>
      <x v="29"/>
    </i>
    <i>
      <x v="30"/>
    </i>
    <i>
      <x v="33"/>
    </i>
    <i>
      <x v="6"/>
    </i>
    <i>
      <x v="18"/>
    </i>
    <i>
      <x v="50"/>
    </i>
    <i>
      <x v="27"/>
    </i>
    <i>
      <x v="17"/>
    </i>
    <i>
      <x v="38"/>
    </i>
    <i>
      <x v="41"/>
    </i>
    <i>
      <x v="19"/>
    </i>
    <i>
      <x v="48"/>
    </i>
    <i>
      <x v="9"/>
    </i>
    <i>
      <x v="23"/>
    </i>
    <i>
      <x v="49"/>
    </i>
    <i>
      <x v="28"/>
    </i>
    <i>
      <x v="44"/>
    </i>
    <i>
      <x v="16"/>
    </i>
    <i>
      <x v="10"/>
    </i>
    <i>
      <x v="7"/>
    </i>
    <i>
      <x v="37"/>
    </i>
  </rowItems>
  <colItems count="1">
    <i/>
  </colItems>
  <dataFields count="1">
    <dataField name="Follower Gain" fld="7" baseField="8" baseItem="8"/>
  </dataFields>
  <formats count="3">
    <format dxfId="6">
      <pivotArea collapsedLevelsAreSubtotals="1" fieldPosition="0">
        <references count="1">
          <reference field="8" count="1">
            <x v="8"/>
          </reference>
        </references>
      </pivotArea>
    </format>
    <format dxfId="5">
      <pivotArea dataOnly="0" labelOnly="1" fieldPosition="0">
        <references count="1">
          <reference field="8" count="1">
            <x v="8"/>
          </reference>
        </references>
      </pivotArea>
    </format>
    <format dxfId="4">
      <pivotArea dataOnly="0" fieldPosition="0">
        <references count="1">
          <reference field="8"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23A840-39AF-43C0-83AC-491A28FE534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4:B54" firstHeaderRow="1"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dataField="1" dragToRow="0" dragToCol="0" dragToPage="0" showAll="0" defaultSubtotal="0"/>
    <pivotField axis="axisRow" showAll="0" defaultSubtotal="0">
      <items count="5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s>
    </pivotField>
  </pivotFields>
  <rowFields count="1">
    <field x="8"/>
  </rowFields>
  <rowItems count="5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Items count="1">
    <i/>
  </colItems>
  <dataFields count="1">
    <dataField name="Follower Gain" fld="7" baseField="8" baseItem="1"/>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5135F8D-DD11-48A0-9F3C-B4F2D1BF6F2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53" firstHeaderRow="0" firstDataRow="1" firstDataCol="1"/>
  <pivotFields count="9">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dataField="1" showAll="0"/>
    <pivotField dataField="1" dragToRow="0" dragToCol="0" dragToPage="0" showAll="0" defaultSubtotal="0"/>
    <pivotField axis="axisRow"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s>
  <rowFields count="1">
    <field x="8"/>
  </rowFields>
  <rowItems count="5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Fields count="1">
    <field x="-2"/>
  </colFields>
  <colItems count="2">
    <i>
      <x/>
    </i>
    <i i="1">
      <x v="1"/>
    </i>
  </colItems>
  <dataFields count="2">
    <dataField name="Sum of Growth Rate" fld="7" baseField="0" baseItem="0"/>
    <dataField name="Sum of Ad_Spen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Week_Start_Date" xr10:uid="{9E9EF5D0-DFF2-4FF8-8EA7-5C5223253507}" sourceName="Week_Start_Date">
  <pivotTables>
    <pivotTable tabId="13" name="PivotTable5"/>
  </pivotTables>
  <state minimalRefreshVersion="6" lastRefreshVersion="6" pivotCacheId="225155084" filterType="unknown">
    <bounds startDate="2024-01-01T00:00:00" endDate="203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Week_Start_Date" xr10:uid="{BDE3CD8D-0348-4648-B29B-44B9F7AD596B}" cache="NativeTimeline_Week_Start_Date" caption="Week_Start_Date" level="2" selectionLevel="2" scrollPosition="2025-04-01T00:00:00"/>
</timeline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4.xml.rels><?xml version="1.0" encoding="UTF-8" standalone="yes"?>
<Relationships xmlns="http://schemas.openxmlformats.org/package/2006/relationships"><Relationship Id="rId2" Type="http://schemas.openxmlformats.org/officeDocument/2006/relationships/hyperlink" Target="https://drive.google.com/drive/folders/15EqoIXT8ulS4uxQIqTELhvASXFgDvkKo?usp=drive_link" TargetMode="External"/><Relationship Id="rId1" Type="http://schemas.openxmlformats.org/officeDocument/2006/relationships/hyperlink" Target="https://docs.google.com/document/d/1zigBcXBCrHO6YJnje9rFk9xCIVDu1WS06QtFDMOTovQ/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E8E7-E95D-4B35-90EF-1C0585BB50FC}">
  <dimension ref="A1:P568"/>
  <sheetViews>
    <sheetView topLeftCell="E1" workbookViewId="0">
      <pane ySplit="1" topLeftCell="A42" activePane="bottomLeft" state="frozen"/>
      <selection activeCell="E1" sqref="E1"/>
      <selection pane="bottomLeft" activeCell="M42" sqref="M42"/>
    </sheetView>
  </sheetViews>
  <sheetFormatPr defaultRowHeight="14.4" x14ac:dyDescent="0.3"/>
  <cols>
    <col min="1" max="1" width="8.5546875" bestFit="1" customWidth="1"/>
    <col min="2" max="3" width="10.33203125" bestFit="1" customWidth="1"/>
    <col min="4" max="4" width="13.6640625" bestFit="1" customWidth="1"/>
    <col min="5" max="5" width="18.109375" bestFit="1" customWidth="1"/>
    <col min="6" max="6" width="10.5546875" bestFit="1" customWidth="1"/>
    <col min="7" max="7" width="8.5546875" bestFit="1" customWidth="1"/>
    <col min="8" max="8" width="12" bestFit="1" customWidth="1"/>
    <col min="9" max="9" width="7.88671875" bestFit="1" customWidth="1"/>
    <col min="10" max="10" width="8.5546875" bestFit="1" customWidth="1"/>
    <col min="11" max="11" width="13" bestFit="1" customWidth="1"/>
    <col min="12" max="12" width="26" bestFit="1" customWidth="1"/>
    <col min="13" max="13" width="17.5546875" bestFit="1" customWidth="1"/>
    <col min="14" max="14" width="18.33203125" customWidth="1"/>
    <col min="15" max="15" width="18" customWidth="1"/>
    <col min="16" max="16" width="17.33203125" customWidth="1"/>
  </cols>
  <sheetData>
    <row r="1" spans="1:16" x14ac:dyDescent="0.3">
      <c r="A1" s="19" t="s">
        <v>46</v>
      </c>
      <c r="B1" s="19" t="s">
        <v>47</v>
      </c>
      <c r="C1" s="19" t="s">
        <v>48</v>
      </c>
      <c r="D1" s="19" t="s">
        <v>49</v>
      </c>
      <c r="E1" s="19" t="s">
        <v>50</v>
      </c>
      <c r="F1" s="19" t="s">
        <v>51</v>
      </c>
      <c r="G1" s="19" t="s">
        <v>52</v>
      </c>
      <c r="H1" s="19" t="s">
        <v>53</v>
      </c>
      <c r="I1" s="19" t="s">
        <v>54</v>
      </c>
      <c r="J1" s="19" t="s">
        <v>55</v>
      </c>
      <c r="K1" s="19" t="s">
        <v>56</v>
      </c>
      <c r="L1" s="19" t="s">
        <v>57</v>
      </c>
      <c r="M1" s="19" t="s">
        <v>58</v>
      </c>
      <c r="N1" s="19" t="s">
        <v>383</v>
      </c>
      <c r="O1" s="19" t="s">
        <v>384</v>
      </c>
      <c r="P1" s="19" t="s">
        <v>385</v>
      </c>
    </row>
    <row r="2" spans="1:16" x14ac:dyDescent="0.3">
      <c r="A2" t="s">
        <v>181</v>
      </c>
      <c r="B2" s="21" t="s">
        <v>30</v>
      </c>
      <c r="C2" s="5">
        <v>45444</v>
      </c>
      <c r="D2" s="21" t="s">
        <v>26</v>
      </c>
      <c r="E2" s="21" t="s">
        <v>5</v>
      </c>
      <c r="F2" s="22">
        <v>19844</v>
      </c>
      <c r="G2" s="22">
        <v>1022</v>
      </c>
      <c r="H2" s="22">
        <v>860</v>
      </c>
      <c r="I2" s="22">
        <v>2570</v>
      </c>
      <c r="J2" s="22">
        <v>23719</v>
      </c>
      <c r="K2" s="22">
        <v>182628</v>
      </c>
      <c r="L2" s="21" t="s">
        <v>60</v>
      </c>
      <c r="M2" s="4">
        <v>0.11896313818253498</v>
      </c>
      <c r="N2" s="5">
        <f>_xlfn.XLOOKUP(Posts!L2,'Campaign Metadata'!$A$2:$A$6,'Campaign Metadata'!$B$2:$B$6)</f>
        <v>45717</v>
      </c>
      <c r="O2" s="5">
        <f>_xlfn.XLOOKUP(L2,'Campaign Metadata'!$A$2:$A$6,'Campaign Metadata'!$C$2:$C$6)</f>
        <v>45747</v>
      </c>
      <c r="P2" t="str">
        <f>IF(C2&lt;N2, "Before", IF(C2&gt;O2, "After", "During"))</f>
        <v>Before</v>
      </c>
    </row>
    <row r="3" spans="1:16" x14ac:dyDescent="0.3">
      <c r="A3" t="s">
        <v>181</v>
      </c>
      <c r="B3" s="21" t="s">
        <v>30</v>
      </c>
      <c r="C3" s="5">
        <v>45444</v>
      </c>
      <c r="D3" s="21" t="s">
        <v>26</v>
      </c>
      <c r="E3" s="21" t="s">
        <v>6</v>
      </c>
      <c r="F3" s="22">
        <v>19844</v>
      </c>
      <c r="G3" s="22">
        <v>1022</v>
      </c>
      <c r="H3" s="22">
        <v>860</v>
      </c>
      <c r="I3" s="22">
        <v>2570</v>
      </c>
      <c r="J3" s="22">
        <v>23719</v>
      </c>
      <c r="K3" s="22">
        <v>182628</v>
      </c>
      <c r="L3" s="21" t="s">
        <v>60</v>
      </c>
      <c r="M3" s="4">
        <v>0.11896313818253498</v>
      </c>
      <c r="N3" s="5">
        <f>_xlfn.XLOOKUP(L3,'Campaign Metadata'!$A$2:$A$6,'Campaign Metadata'!$B$2:$B$6)</f>
        <v>45717</v>
      </c>
      <c r="O3" s="5">
        <f>_xlfn.XLOOKUP(L3,'Campaign Metadata'!$A$2:$A$6,'Campaign Metadata'!$C$2:$C$6)</f>
        <v>45747</v>
      </c>
      <c r="P3" t="str">
        <f t="shared" ref="P3:P66" si="0">IF(C3&lt;N3, "Before", IF(C3&gt;O3, "After", "During"))</f>
        <v>Before</v>
      </c>
    </row>
    <row r="4" spans="1:16" x14ac:dyDescent="0.3">
      <c r="A4" t="s">
        <v>170</v>
      </c>
      <c r="B4" s="21" t="s">
        <v>32</v>
      </c>
      <c r="C4" s="5">
        <v>45445</v>
      </c>
      <c r="D4" s="21" t="s">
        <v>28</v>
      </c>
      <c r="E4" s="21" t="s">
        <v>16</v>
      </c>
      <c r="F4" s="22">
        <v>14199</v>
      </c>
      <c r="G4" s="22">
        <v>1206</v>
      </c>
      <c r="H4" s="22">
        <v>954</v>
      </c>
      <c r="I4" s="22">
        <v>2009</v>
      </c>
      <c r="J4" s="22">
        <v>8</v>
      </c>
      <c r="K4" s="22">
        <v>65537</v>
      </c>
      <c r="L4" s="21" t="s">
        <v>60</v>
      </c>
      <c r="M4" s="4">
        <v>0.24961472145505592</v>
      </c>
      <c r="N4" s="5">
        <f>_xlfn.XLOOKUP(L4,'Campaign Metadata'!$A$2:$A$6,'Campaign Metadata'!$B$2:$B$6)</f>
        <v>45717</v>
      </c>
      <c r="O4" s="5">
        <f>_xlfn.XLOOKUP(L4,'Campaign Metadata'!$A$2:$A$6,'Campaign Metadata'!$C$2:$C$6)</f>
        <v>45747</v>
      </c>
      <c r="P4" t="str">
        <f t="shared" si="0"/>
        <v>Before</v>
      </c>
    </row>
    <row r="5" spans="1:16" x14ac:dyDescent="0.3">
      <c r="A5" t="s">
        <v>170</v>
      </c>
      <c r="B5" s="21" t="s">
        <v>32</v>
      </c>
      <c r="C5" s="5">
        <v>45445</v>
      </c>
      <c r="D5" s="21" t="s">
        <v>28</v>
      </c>
      <c r="E5" s="21" t="s">
        <v>4</v>
      </c>
      <c r="F5" s="22">
        <v>14199</v>
      </c>
      <c r="G5" s="22">
        <v>1206</v>
      </c>
      <c r="H5" s="22">
        <v>954</v>
      </c>
      <c r="I5" s="22">
        <v>2009</v>
      </c>
      <c r="J5" s="22">
        <v>8</v>
      </c>
      <c r="K5" s="22">
        <v>65537</v>
      </c>
      <c r="L5" s="21" t="s">
        <v>60</v>
      </c>
      <c r="M5" s="4">
        <v>0.24961472145505592</v>
      </c>
      <c r="N5" s="5">
        <f>_xlfn.XLOOKUP(L5,'Campaign Metadata'!$A$2:$A$6,'Campaign Metadata'!$B$2:$B$6)</f>
        <v>45717</v>
      </c>
      <c r="O5" s="5">
        <f>_xlfn.XLOOKUP(L5,'Campaign Metadata'!$A$2:$A$6,'Campaign Metadata'!$C$2:$C$6)</f>
        <v>45747</v>
      </c>
      <c r="P5" t="str">
        <f t="shared" si="0"/>
        <v>Before</v>
      </c>
    </row>
    <row r="6" spans="1:16" x14ac:dyDescent="0.3">
      <c r="A6" t="s">
        <v>132</v>
      </c>
      <c r="B6" s="21" t="s">
        <v>31</v>
      </c>
      <c r="C6" s="5">
        <v>45446</v>
      </c>
      <c r="D6" s="21" t="s">
        <v>26</v>
      </c>
      <c r="E6" s="21" t="s">
        <v>3</v>
      </c>
      <c r="F6" s="22">
        <v>8941</v>
      </c>
      <c r="G6" s="22">
        <v>911</v>
      </c>
      <c r="H6" s="22">
        <v>166</v>
      </c>
      <c r="I6" s="22">
        <v>1217</v>
      </c>
      <c r="J6" s="22">
        <v>68817</v>
      </c>
      <c r="K6" s="22">
        <v>221180</v>
      </c>
      <c r="L6" s="21" t="s">
        <v>65</v>
      </c>
      <c r="M6" s="4">
        <v>4.5293426168731353E-2</v>
      </c>
      <c r="N6" s="5">
        <f>_xlfn.XLOOKUP(L6,'Campaign Metadata'!$A$2:$A$6,'Campaign Metadata'!$B$2:$B$6)</f>
        <v>45566</v>
      </c>
      <c r="O6" s="5">
        <f>_xlfn.XLOOKUP(L6,'Campaign Metadata'!$A$2:$A$6,'Campaign Metadata'!$C$2:$C$6)</f>
        <v>45596</v>
      </c>
      <c r="P6" t="str">
        <f t="shared" si="0"/>
        <v>Before</v>
      </c>
    </row>
    <row r="7" spans="1:16" x14ac:dyDescent="0.3">
      <c r="A7" t="s">
        <v>132</v>
      </c>
      <c r="B7" s="21" t="s">
        <v>31</v>
      </c>
      <c r="C7" s="5">
        <v>45446</v>
      </c>
      <c r="D7" s="21" t="s">
        <v>26</v>
      </c>
      <c r="E7" s="21" t="s">
        <v>13</v>
      </c>
      <c r="F7" s="22">
        <v>8941</v>
      </c>
      <c r="G7" s="22">
        <v>911</v>
      </c>
      <c r="H7" s="22">
        <v>166</v>
      </c>
      <c r="I7" s="22">
        <v>1217</v>
      </c>
      <c r="J7" s="22">
        <v>68817</v>
      </c>
      <c r="K7" s="22">
        <v>221180</v>
      </c>
      <c r="L7" s="21" t="s">
        <v>65</v>
      </c>
      <c r="M7" s="4">
        <v>4.5293426168731353E-2</v>
      </c>
      <c r="N7" s="5">
        <f>_xlfn.XLOOKUP(L7,'Campaign Metadata'!$A$2:$A$6,'Campaign Metadata'!$B$2:$B$6)</f>
        <v>45566</v>
      </c>
      <c r="O7" s="5">
        <f>_xlfn.XLOOKUP(L7,'Campaign Metadata'!$A$2:$A$6,'Campaign Metadata'!$C$2:$C$6)</f>
        <v>45596</v>
      </c>
      <c r="P7" t="str">
        <f t="shared" si="0"/>
        <v>Before</v>
      </c>
    </row>
    <row r="8" spans="1:16" x14ac:dyDescent="0.3">
      <c r="A8" t="s">
        <v>272</v>
      </c>
      <c r="B8" s="21" t="s">
        <v>32</v>
      </c>
      <c r="C8" s="5">
        <v>45448</v>
      </c>
      <c r="D8" s="21" t="s">
        <v>27</v>
      </c>
      <c r="E8" s="21" t="s">
        <v>18</v>
      </c>
      <c r="F8" s="22">
        <v>18907</v>
      </c>
      <c r="G8" s="22">
        <v>1075</v>
      </c>
      <c r="H8" s="22">
        <v>675</v>
      </c>
      <c r="I8" s="22">
        <v>1383</v>
      </c>
      <c r="J8" s="22">
        <v>17875</v>
      </c>
      <c r="K8" s="22">
        <v>186649</v>
      </c>
      <c r="L8" s="21" t="s">
        <v>59</v>
      </c>
      <c r="M8" s="4">
        <v>0.11067297440650634</v>
      </c>
      <c r="N8" s="5">
        <f>_xlfn.XLOOKUP(L8,'Campaign Metadata'!$A$2:$A$6,'Campaign Metadata'!$B$2:$B$6)</f>
        <v>45651</v>
      </c>
      <c r="O8" s="5">
        <f>_xlfn.XLOOKUP(L8,'Campaign Metadata'!$A$2:$A$6,'Campaign Metadata'!$C$2:$C$6)</f>
        <v>45667</v>
      </c>
      <c r="P8" t="str">
        <f t="shared" si="0"/>
        <v>Before</v>
      </c>
    </row>
    <row r="9" spans="1:16" x14ac:dyDescent="0.3">
      <c r="A9" t="s">
        <v>272</v>
      </c>
      <c r="B9" s="21" t="s">
        <v>32</v>
      </c>
      <c r="C9" s="5">
        <v>45448</v>
      </c>
      <c r="D9" s="21" t="s">
        <v>27</v>
      </c>
      <c r="E9" s="21" t="s">
        <v>15</v>
      </c>
      <c r="F9" s="22">
        <v>18907</v>
      </c>
      <c r="G9" s="22">
        <v>1075</v>
      </c>
      <c r="H9" s="22">
        <v>675</v>
      </c>
      <c r="I9" s="22">
        <v>1383</v>
      </c>
      <c r="J9" s="22">
        <v>17875</v>
      </c>
      <c r="K9" s="22">
        <v>186649</v>
      </c>
      <c r="L9" s="21" t="s">
        <v>59</v>
      </c>
      <c r="M9" s="4">
        <v>0.11067297440650634</v>
      </c>
      <c r="N9" s="5">
        <f>_xlfn.XLOOKUP(L9,'Campaign Metadata'!$A$2:$A$6,'Campaign Metadata'!$B$2:$B$6)</f>
        <v>45651</v>
      </c>
      <c r="O9" s="5">
        <f>_xlfn.XLOOKUP(L9,'Campaign Metadata'!$A$2:$A$6,'Campaign Metadata'!$C$2:$C$6)</f>
        <v>45667</v>
      </c>
      <c r="P9" t="str">
        <f t="shared" si="0"/>
        <v>Before</v>
      </c>
    </row>
    <row r="10" spans="1:16" x14ac:dyDescent="0.3">
      <c r="A10" t="s">
        <v>125</v>
      </c>
      <c r="B10" s="21" t="s">
        <v>31</v>
      </c>
      <c r="C10" s="5">
        <v>45449</v>
      </c>
      <c r="D10" s="21" t="s">
        <v>27</v>
      </c>
      <c r="E10" s="21" t="s">
        <v>3</v>
      </c>
      <c r="F10" s="22">
        <v>11521</v>
      </c>
      <c r="G10" s="22">
        <v>1071</v>
      </c>
      <c r="H10" s="22">
        <v>762</v>
      </c>
      <c r="I10" s="22">
        <v>2539</v>
      </c>
      <c r="J10" s="22">
        <v>12701</v>
      </c>
      <c r="K10" s="22">
        <v>238350</v>
      </c>
      <c r="L10" s="21" t="s">
        <v>60</v>
      </c>
      <c r="M10" s="4">
        <v>5.6026851269142017E-2</v>
      </c>
      <c r="N10" s="5">
        <f>_xlfn.XLOOKUP(L10,'Campaign Metadata'!$A$2:$A$6,'Campaign Metadata'!$B$2:$B$6)</f>
        <v>45717</v>
      </c>
      <c r="O10" s="5">
        <f>_xlfn.XLOOKUP(L10,'Campaign Metadata'!$A$2:$A$6,'Campaign Metadata'!$C$2:$C$6)</f>
        <v>45747</v>
      </c>
      <c r="P10" t="str">
        <f t="shared" si="0"/>
        <v>Before</v>
      </c>
    </row>
    <row r="11" spans="1:16" x14ac:dyDescent="0.3">
      <c r="A11" t="s">
        <v>125</v>
      </c>
      <c r="B11" s="21" t="s">
        <v>31</v>
      </c>
      <c r="C11" s="5">
        <v>45449</v>
      </c>
      <c r="D11" s="21" t="s">
        <v>27</v>
      </c>
      <c r="E11" s="21" t="s">
        <v>14</v>
      </c>
      <c r="F11" s="22">
        <v>11521</v>
      </c>
      <c r="G11" s="22">
        <v>1071</v>
      </c>
      <c r="H11" s="22">
        <v>762</v>
      </c>
      <c r="I11" s="22">
        <v>2539</v>
      </c>
      <c r="J11" s="22">
        <v>12701</v>
      </c>
      <c r="K11" s="22">
        <v>238350</v>
      </c>
      <c r="L11" s="21" t="s">
        <v>60</v>
      </c>
      <c r="M11" s="4">
        <v>5.6026851269142017E-2</v>
      </c>
      <c r="N11" s="5">
        <f>_xlfn.XLOOKUP(L11,'Campaign Metadata'!$A$2:$A$6,'Campaign Metadata'!$B$2:$B$6)</f>
        <v>45717</v>
      </c>
      <c r="O11" s="5">
        <f>_xlfn.XLOOKUP(L11,'Campaign Metadata'!$A$2:$A$6,'Campaign Metadata'!$C$2:$C$6)</f>
        <v>45747</v>
      </c>
      <c r="P11" t="str">
        <f t="shared" si="0"/>
        <v>Before</v>
      </c>
    </row>
    <row r="12" spans="1:16" x14ac:dyDescent="0.3">
      <c r="A12" t="s">
        <v>208</v>
      </c>
      <c r="B12" s="21" t="s">
        <v>32</v>
      </c>
      <c r="C12" s="5">
        <v>45449</v>
      </c>
      <c r="D12" s="21" t="s">
        <v>25</v>
      </c>
      <c r="E12" s="21" t="s">
        <v>19</v>
      </c>
      <c r="F12" s="22">
        <v>3531</v>
      </c>
      <c r="G12" s="22">
        <v>789</v>
      </c>
      <c r="H12" s="22">
        <v>467</v>
      </c>
      <c r="I12" s="22">
        <v>1867</v>
      </c>
      <c r="J12" s="22">
        <v>40816</v>
      </c>
      <c r="K12" s="22">
        <v>236037</v>
      </c>
      <c r="L12" s="21" t="s">
        <v>60</v>
      </c>
      <c r="M12" s="4">
        <v>2.0280718700881641E-2</v>
      </c>
      <c r="N12" s="5">
        <f>_xlfn.XLOOKUP(L12,'Campaign Metadata'!$A$2:$A$6,'Campaign Metadata'!$B$2:$B$6)</f>
        <v>45717</v>
      </c>
      <c r="O12" s="5">
        <f>_xlfn.XLOOKUP(L12,'Campaign Metadata'!$A$2:$A$6,'Campaign Metadata'!$C$2:$C$6)</f>
        <v>45747</v>
      </c>
      <c r="P12" t="str">
        <f t="shared" si="0"/>
        <v>Before</v>
      </c>
    </row>
    <row r="13" spans="1:16" x14ac:dyDescent="0.3">
      <c r="A13" t="s">
        <v>208</v>
      </c>
      <c r="B13" s="21" t="s">
        <v>32</v>
      </c>
      <c r="C13" s="5">
        <v>45449</v>
      </c>
      <c r="D13" s="21" t="s">
        <v>25</v>
      </c>
      <c r="E13" s="21" t="s">
        <v>2</v>
      </c>
      <c r="F13" s="22">
        <v>3531</v>
      </c>
      <c r="G13" s="22">
        <v>789</v>
      </c>
      <c r="H13" s="22">
        <v>467</v>
      </c>
      <c r="I13" s="22">
        <v>1867</v>
      </c>
      <c r="J13" s="22">
        <v>40816</v>
      </c>
      <c r="K13" s="22">
        <v>236037</v>
      </c>
      <c r="L13" s="21" t="s">
        <v>60</v>
      </c>
      <c r="M13" s="4">
        <v>2.0280718700881641E-2</v>
      </c>
      <c r="N13" s="5">
        <f>_xlfn.XLOOKUP(L13,'Campaign Metadata'!$A$2:$A$6,'Campaign Metadata'!$B$2:$B$6)</f>
        <v>45717</v>
      </c>
      <c r="O13" s="5">
        <f>_xlfn.XLOOKUP(L13,'Campaign Metadata'!$A$2:$A$6,'Campaign Metadata'!$C$2:$C$6)</f>
        <v>45747</v>
      </c>
      <c r="P13" t="str">
        <f t="shared" si="0"/>
        <v>Before</v>
      </c>
    </row>
    <row r="14" spans="1:16" x14ac:dyDescent="0.3">
      <c r="A14" t="s">
        <v>77</v>
      </c>
      <c r="B14" s="21" t="s">
        <v>30</v>
      </c>
      <c r="C14" s="5">
        <v>45450</v>
      </c>
      <c r="D14" s="21" t="s">
        <v>28</v>
      </c>
      <c r="E14" s="21" t="s">
        <v>3</v>
      </c>
      <c r="F14" s="22">
        <v>8233</v>
      </c>
      <c r="G14" s="22">
        <v>436</v>
      </c>
      <c r="H14" s="22">
        <v>269</v>
      </c>
      <c r="I14" s="22">
        <v>2037</v>
      </c>
      <c r="J14" s="22">
        <v>8875</v>
      </c>
      <c r="K14" s="22">
        <v>52289</v>
      </c>
      <c r="L14" s="21" t="s">
        <v>59</v>
      </c>
      <c r="M14" s="4">
        <v>0.17093461339861157</v>
      </c>
      <c r="N14" s="5">
        <f>_xlfn.XLOOKUP(L14,'Campaign Metadata'!$A$2:$A$6,'Campaign Metadata'!$B$2:$B$6)</f>
        <v>45651</v>
      </c>
      <c r="O14" s="5">
        <f>_xlfn.XLOOKUP(L14,'Campaign Metadata'!$A$2:$A$6,'Campaign Metadata'!$C$2:$C$6)</f>
        <v>45667</v>
      </c>
      <c r="P14" t="str">
        <f t="shared" si="0"/>
        <v>Before</v>
      </c>
    </row>
    <row r="15" spans="1:16" x14ac:dyDescent="0.3">
      <c r="A15" t="s">
        <v>77</v>
      </c>
      <c r="B15" s="21" t="s">
        <v>30</v>
      </c>
      <c r="C15" s="5">
        <v>45450</v>
      </c>
      <c r="D15" s="21" t="s">
        <v>28</v>
      </c>
      <c r="E15" s="21" t="s">
        <v>12</v>
      </c>
      <c r="F15" s="22">
        <v>8233</v>
      </c>
      <c r="G15" s="22">
        <v>436</v>
      </c>
      <c r="H15" s="22">
        <v>269</v>
      </c>
      <c r="I15" s="22">
        <v>2037</v>
      </c>
      <c r="J15" s="22">
        <v>8875</v>
      </c>
      <c r="K15" s="22">
        <v>52289</v>
      </c>
      <c r="L15" s="21" t="s">
        <v>59</v>
      </c>
      <c r="M15" s="4">
        <v>0.17093461339861157</v>
      </c>
      <c r="N15" s="5">
        <f>_xlfn.XLOOKUP(L15,'Campaign Metadata'!$A$2:$A$6,'Campaign Metadata'!$B$2:$B$6)</f>
        <v>45651</v>
      </c>
      <c r="O15" s="5">
        <f>_xlfn.XLOOKUP(L15,'Campaign Metadata'!$A$2:$A$6,'Campaign Metadata'!$C$2:$C$6)</f>
        <v>45667</v>
      </c>
      <c r="P15" t="str">
        <f t="shared" si="0"/>
        <v>Before</v>
      </c>
    </row>
    <row r="16" spans="1:16" x14ac:dyDescent="0.3">
      <c r="A16" t="s">
        <v>269</v>
      </c>
      <c r="B16" s="21" t="s">
        <v>30</v>
      </c>
      <c r="C16" s="5">
        <v>45453</v>
      </c>
      <c r="D16" s="21" t="s">
        <v>28</v>
      </c>
      <c r="E16" s="21" t="s">
        <v>5</v>
      </c>
      <c r="F16" s="22">
        <v>21561</v>
      </c>
      <c r="G16" s="22">
        <v>340</v>
      </c>
      <c r="H16" s="22">
        <v>741</v>
      </c>
      <c r="I16" s="22">
        <v>986</v>
      </c>
      <c r="J16" s="22">
        <v>24826</v>
      </c>
      <c r="K16" s="22">
        <v>198492</v>
      </c>
      <c r="L16" s="21" t="s">
        <v>59</v>
      </c>
      <c r="M16" s="4">
        <v>0.11407008846704149</v>
      </c>
      <c r="N16" s="5">
        <f>_xlfn.XLOOKUP(L16,'Campaign Metadata'!$A$2:$A$6,'Campaign Metadata'!$B$2:$B$6)</f>
        <v>45651</v>
      </c>
      <c r="O16" s="5">
        <f>_xlfn.XLOOKUP(L16,'Campaign Metadata'!$A$2:$A$6,'Campaign Metadata'!$C$2:$C$6)</f>
        <v>45667</v>
      </c>
      <c r="P16" t="str">
        <f t="shared" si="0"/>
        <v>Before</v>
      </c>
    </row>
    <row r="17" spans="1:16" x14ac:dyDescent="0.3">
      <c r="A17" t="s">
        <v>269</v>
      </c>
      <c r="B17" s="21" t="s">
        <v>30</v>
      </c>
      <c r="C17" s="5">
        <v>45453</v>
      </c>
      <c r="D17" s="21" t="s">
        <v>28</v>
      </c>
      <c r="E17" s="21" t="s">
        <v>6</v>
      </c>
      <c r="F17" s="22">
        <v>21561</v>
      </c>
      <c r="G17" s="22">
        <v>340</v>
      </c>
      <c r="H17" s="22">
        <v>741</v>
      </c>
      <c r="I17" s="22">
        <v>986</v>
      </c>
      <c r="J17" s="22">
        <v>24826</v>
      </c>
      <c r="K17" s="22">
        <v>198492</v>
      </c>
      <c r="L17" s="21" t="s">
        <v>59</v>
      </c>
      <c r="M17" s="4">
        <v>0.11407008846704149</v>
      </c>
      <c r="N17" s="5">
        <f>_xlfn.XLOOKUP(L17,'Campaign Metadata'!$A$2:$A$6,'Campaign Metadata'!$B$2:$B$6)</f>
        <v>45651</v>
      </c>
      <c r="O17" s="5">
        <f>_xlfn.XLOOKUP(L17,'Campaign Metadata'!$A$2:$A$6,'Campaign Metadata'!$C$2:$C$6)</f>
        <v>45667</v>
      </c>
      <c r="P17" t="str">
        <f t="shared" si="0"/>
        <v>Before</v>
      </c>
    </row>
    <row r="18" spans="1:16" x14ac:dyDescent="0.3">
      <c r="A18" t="s">
        <v>195</v>
      </c>
      <c r="B18" s="21" t="s">
        <v>29</v>
      </c>
      <c r="C18" s="5">
        <v>45454</v>
      </c>
      <c r="D18" s="21" t="s">
        <v>28</v>
      </c>
      <c r="E18" s="21" t="s">
        <v>17</v>
      </c>
      <c r="F18" s="22">
        <v>14910</v>
      </c>
      <c r="G18" s="22">
        <v>778</v>
      </c>
      <c r="H18" s="22">
        <v>289</v>
      </c>
      <c r="I18" s="22">
        <v>2541</v>
      </c>
      <c r="J18" s="22">
        <v>14309</v>
      </c>
      <c r="K18" s="22">
        <v>247815</v>
      </c>
      <c r="L18" s="21" t="s">
        <v>60</v>
      </c>
      <c r="M18" s="4">
        <v>6.4471480741682297E-2</v>
      </c>
      <c r="N18" s="5">
        <f>_xlfn.XLOOKUP(L18,'Campaign Metadata'!$A$2:$A$6,'Campaign Metadata'!$B$2:$B$6)</f>
        <v>45717</v>
      </c>
      <c r="O18" s="5">
        <f>_xlfn.XLOOKUP(L18,'Campaign Metadata'!$A$2:$A$6,'Campaign Metadata'!$C$2:$C$6)</f>
        <v>45747</v>
      </c>
      <c r="P18" t="str">
        <f t="shared" si="0"/>
        <v>Before</v>
      </c>
    </row>
    <row r="19" spans="1:16" x14ac:dyDescent="0.3">
      <c r="A19" t="s">
        <v>157</v>
      </c>
      <c r="B19" s="21" t="s">
        <v>29</v>
      </c>
      <c r="C19" s="5">
        <v>45455</v>
      </c>
      <c r="D19" s="21" t="s">
        <v>27</v>
      </c>
      <c r="E19" s="21" t="s">
        <v>4</v>
      </c>
      <c r="F19" s="22">
        <v>17679</v>
      </c>
      <c r="G19" s="22">
        <v>690</v>
      </c>
      <c r="H19" s="22">
        <v>451</v>
      </c>
      <c r="I19" s="22">
        <v>2195</v>
      </c>
      <c r="J19" s="22">
        <v>4390</v>
      </c>
      <c r="K19" s="22">
        <v>235804</v>
      </c>
      <c r="L19" s="21" t="s">
        <v>65</v>
      </c>
      <c r="M19" s="4">
        <v>7.9812047293514959E-2</v>
      </c>
      <c r="N19" s="5">
        <f>_xlfn.XLOOKUP(L19,'Campaign Metadata'!$A$2:$A$6,'Campaign Metadata'!$B$2:$B$6)</f>
        <v>45566</v>
      </c>
      <c r="O19" s="5">
        <f>_xlfn.XLOOKUP(L19,'Campaign Metadata'!$A$2:$A$6,'Campaign Metadata'!$C$2:$C$6)</f>
        <v>45596</v>
      </c>
      <c r="P19" t="str">
        <f t="shared" si="0"/>
        <v>Before</v>
      </c>
    </row>
    <row r="20" spans="1:16" x14ac:dyDescent="0.3">
      <c r="A20" t="s">
        <v>157</v>
      </c>
      <c r="B20" s="21" t="s">
        <v>29</v>
      </c>
      <c r="C20" s="5">
        <v>45455</v>
      </c>
      <c r="D20" s="21" t="s">
        <v>27</v>
      </c>
      <c r="E20" s="21" t="s">
        <v>16</v>
      </c>
      <c r="F20" s="22">
        <v>17679</v>
      </c>
      <c r="G20" s="22">
        <v>690</v>
      </c>
      <c r="H20" s="22">
        <v>451</v>
      </c>
      <c r="I20" s="22">
        <v>2195</v>
      </c>
      <c r="J20" s="22">
        <v>4390</v>
      </c>
      <c r="K20" s="22">
        <v>235804</v>
      </c>
      <c r="L20" s="21" t="s">
        <v>65</v>
      </c>
      <c r="M20" s="4">
        <v>7.9812047293514959E-2</v>
      </c>
      <c r="N20" s="5">
        <f>_xlfn.XLOOKUP(L20,'Campaign Metadata'!$A$2:$A$6,'Campaign Metadata'!$B$2:$B$6)</f>
        <v>45566</v>
      </c>
      <c r="O20" s="5">
        <f>_xlfn.XLOOKUP(L20,'Campaign Metadata'!$A$2:$A$6,'Campaign Metadata'!$C$2:$C$6)</f>
        <v>45596</v>
      </c>
      <c r="P20" t="str">
        <f t="shared" si="0"/>
        <v>Before</v>
      </c>
    </row>
    <row r="21" spans="1:16" x14ac:dyDescent="0.3">
      <c r="A21" t="s">
        <v>253</v>
      </c>
      <c r="B21" s="21" t="s">
        <v>32</v>
      </c>
      <c r="C21" s="5">
        <v>45456</v>
      </c>
      <c r="D21" s="21" t="s">
        <v>25</v>
      </c>
      <c r="E21" s="21" t="s">
        <v>9</v>
      </c>
      <c r="F21" s="22">
        <v>23164</v>
      </c>
      <c r="G21" s="22">
        <v>1122</v>
      </c>
      <c r="H21" s="22">
        <v>900</v>
      </c>
      <c r="I21" s="22">
        <v>888</v>
      </c>
      <c r="J21" s="22">
        <v>36938</v>
      </c>
      <c r="K21" s="22">
        <v>104674</v>
      </c>
      <c r="L21" s="21" t="s">
        <v>59</v>
      </c>
      <c r="M21" s="4">
        <v>0.24061371496264594</v>
      </c>
      <c r="N21" s="5">
        <f>_xlfn.XLOOKUP(L21,'Campaign Metadata'!$A$2:$A$6,'Campaign Metadata'!$B$2:$B$6)</f>
        <v>45651</v>
      </c>
      <c r="O21" s="5">
        <f>_xlfn.XLOOKUP(L21,'Campaign Metadata'!$A$2:$A$6,'Campaign Metadata'!$C$2:$C$6)</f>
        <v>45667</v>
      </c>
      <c r="P21" t="str">
        <f t="shared" si="0"/>
        <v>Before</v>
      </c>
    </row>
    <row r="22" spans="1:16" x14ac:dyDescent="0.3">
      <c r="A22" t="s">
        <v>253</v>
      </c>
      <c r="B22" s="21" t="s">
        <v>32</v>
      </c>
      <c r="C22" s="5">
        <v>45456</v>
      </c>
      <c r="D22" s="21" t="s">
        <v>25</v>
      </c>
      <c r="E22" s="21" t="s">
        <v>7</v>
      </c>
      <c r="F22" s="22">
        <v>23164</v>
      </c>
      <c r="G22" s="22">
        <v>1122</v>
      </c>
      <c r="H22" s="22">
        <v>900</v>
      </c>
      <c r="I22" s="22">
        <v>888</v>
      </c>
      <c r="J22" s="22">
        <v>36938</v>
      </c>
      <c r="K22" s="22">
        <v>104674</v>
      </c>
      <c r="L22" s="21" t="s">
        <v>59</v>
      </c>
      <c r="M22" s="4">
        <v>0.24061371496264594</v>
      </c>
      <c r="N22" s="5">
        <f>_xlfn.XLOOKUP(L22,'Campaign Metadata'!$A$2:$A$6,'Campaign Metadata'!$B$2:$B$6)</f>
        <v>45651</v>
      </c>
      <c r="O22" s="5">
        <f>_xlfn.XLOOKUP(L22,'Campaign Metadata'!$A$2:$A$6,'Campaign Metadata'!$C$2:$C$6)</f>
        <v>45667</v>
      </c>
      <c r="P22" t="str">
        <f t="shared" si="0"/>
        <v>Before</v>
      </c>
    </row>
    <row r="23" spans="1:16" x14ac:dyDescent="0.3">
      <c r="A23" t="s">
        <v>141</v>
      </c>
      <c r="B23" s="21" t="s">
        <v>30</v>
      </c>
      <c r="C23" s="5">
        <v>45456</v>
      </c>
      <c r="D23" s="21" t="s">
        <v>26</v>
      </c>
      <c r="E23" s="21" t="s">
        <v>10</v>
      </c>
      <c r="F23" s="22">
        <v>14173</v>
      </c>
      <c r="G23" s="22">
        <v>294</v>
      </c>
      <c r="H23" s="22">
        <v>257</v>
      </c>
      <c r="I23" s="22">
        <v>1288</v>
      </c>
      <c r="J23" s="22">
        <v>39466</v>
      </c>
      <c r="K23" s="22">
        <v>55563</v>
      </c>
      <c r="L23" s="21" t="s">
        <v>65</v>
      </c>
      <c r="M23" s="4">
        <v>0.26499649047027696</v>
      </c>
      <c r="N23" s="5">
        <f>_xlfn.XLOOKUP(L23,'Campaign Metadata'!$A$2:$A$6,'Campaign Metadata'!$B$2:$B$6)</f>
        <v>45566</v>
      </c>
      <c r="O23" s="5">
        <f>_xlfn.XLOOKUP(L23,'Campaign Metadata'!$A$2:$A$6,'Campaign Metadata'!$C$2:$C$6)</f>
        <v>45596</v>
      </c>
      <c r="P23" t="str">
        <f t="shared" si="0"/>
        <v>Before</v>
      </c>
    </row>
    <row r="24" spans="1:16" x14ac:dyDescent="0.3">
      <c r="A24" t="s">
        <v>141</v>
      </c>
      <c r="B24" s="21" t="s">
        <v>30</v>
      </c>
      <c r="C24" s="5">
        <v>45456</v>
      </c>
      <c r="D24" s="21" t="s">
        <v>26</v>
      </c>
      <c r="E24" s="21" t="s">
        <v>8</v>
      </c>
      <c r="F24" s="22">
        <v>14173</v>
      </c>
      <c r="G24" s="22">
        <v>294</v>
      </c>
      <c r="H24" s="22">
        <v>257</v>
      </c>
      <c r="I24" s="22">
        <v>1288</v>
      </c>
      <c r="J24" s="22">
        <v>39466</v>
      </c>
      <c r="K24" s="22">
        <v>55563</v>
      </c>
      <c r="L24" s="21" t="s">
        <v>65</v>
      </c>
      <c r="M24" s="4">
        <v>0.26499649047027696</v>
      </c>
      <c r="N24" s="5">
        <f>_xlfn.XLOOKUP(L24,'Campaign Metadata'!$A$2:$A$6,'Campaign Metadata'!$B$2:$B$6)</f>
        <v>45566</v>
      </c>
      <c r="O24" s="5">
        <f>_xlfn.XLOOKUP(L24,'Campaign Metadata'!$A$2:$A$6,'Campaign Metadata'!$C$2:$C$6)</f>
        <v>45596</v>
      </c>
      <c r="P24" t="str">
        <f t="shared" si="0"/>
        <v>Before</v>
      </c>
    </row>
    <row r="25" spans="1:16" x14ac:dyDescent="0.3">
      <c r="A25" t="s">
        <v>62</v>
      </c>
      <c r="B25" s="21" t="s">
        <v>31</v>
      </c>
      <c r="C25" s="5">
        <v>45457</v>
      </c>
      <c r="D25" s="21" t="s">
        <v>25</v>
      </c>
      <c r="E25" s="21" t="s">
        <v>3</v>
      </c>
      <c r="F25" s="22">
        <v>21856</v>
      </c>
      <c r="G25" s="22">
        <v>1203</v>
      </c>
      <c r="H25" s="22">
        <v>634</v>
      </c>
      <c r="I25" s="22">
        <v>2807</v>
      </c>
      <c r="J25" s="22">
        <v>3647</v>
      </c>
      <c r="K25" s="22">
        <v>104178</v>
      </c>
      <c r="L25" s="21" t="s">
        <v>63</v>
      </c>
      <c r="M25" s="4">
        <v>0.22742805582752595</v>
      </c>
      <c r="N25" s="5">
        <f>_xlfn.XLOOKUP(L25,'Campaign Metadata'!$A$2:$A$6,'Campaign Metadata'!$B$2:$B$6)</f>
        <v>45458</v>
      </c>
      <c r="O25" s="5">
        <f>_xlfn.XLOOKUP(L25,'Campaign Metadata'!$A$2:$A$6,'Campaign Metadata'!$C$2:$C$6)</f>
        <v>45488</v>
      </c>
      <c r="P25" t="str">
        <f t="shared" si="0"/>
        <v>Before</v>
      </c>
    </row>
    <row r="26" spans="1:16" x14ac:dyDescent="0.3">
      <c r="A26" t="s">
        <v>62</v>
      </c>
      <c r="B26" s="21" t="s">
        <v>31</v>
      </c>
      <c r="C26" s="5">
        <v>45457</v>
      </c>
      <c r="D26" s="21" t="s">
        <v>25</v>
      </c>
      <c r="E26" s="21" t="s">
        <v>14</v>
      </c>
      <c r="F26" s="22">
        <v>21856</v>
      </c>
      <c r="G26" s="22">
        <v>1203</v>
      </c>
      <c r="H26" s="22">
        <v>634</v>
      </c>
      <c r="I26" s="22">
        <v>2807</v>
      </c>
      <c r="J26" s="22">
        <v>3647</v>
      </c>
      <c r="K26" s="22">
        <v>104178</v>
      </c>
      <c r="L26" s="21" t="s">
        <v>63</v>
      </c>
      <c r="M26" s="4">
        <v>0.22742805582752595</v>
      </c>
      <c r="N26" s="5">
        <f>_xlfn.XLOOKUP(L26,'Campaign Metadata'!$A$2:$A$6,'Campaign Metadata'!$B$2:$B$6)</f>
        <v>45458</v>
      </c>
      <c r="O26" s="5">
        <f>_xlfn.XLOOKUP(L26,'Campaign Metadata'!$A$2:$A$6,'Campaign Metadata'!$C$2:$C$6)</f>
        <v>45488</v>
      </c>
      <c r="P26" t="str">
        <f t="shared" si="0"/>
        <v>Before</v>
      </c>
    </row>
    <row r="27" spans="1:16" x14ac:dyDescent="0.3">
      <c r="A27" t="s">
        <v>34</v>
      </c>
      <c r="B27" s="21" t="s">
        <v>31</v>
      </c>
      <c r="C27" s="5">
        <v>45457</v>
      </c>
      <c r="D27" s="21" t="s">
        <v>28</v>
      </c>
      <c r="E27" s="21" t="s">
        <v>3</v>
      </c>
      <c r="F27" s="22">
        <v>17183</v>
      </c>
      <c r="G27" s="22">
        <v>1224</v>
      </c>
      <c r="H27" s="22">
        <v>943</v>
      </c>
      <c r="I27" s="22">
        <v>2010</v>
      </c>
      <c r="J27" s="22">
        <v>21481</v>
      </c>
      <c r="K27" s="22">
        <v>49110</v>
      </c>
      <c r="L27" s="21" t="s">
        <v>60</v>
      </c>
      <c r="M27" s="4">
        <v>0.39401343921808185</v>
      </c>
      <c r="N27" s="5">
        <f>_xlfn.XLOOKUP(L27,'Campaign Metadata'!$A$2:$A$6,'Campaign Metadata'!$B$2:$B$6)</f>
        <v>45717</v>
      </c>
      <c r="O27" s="5">
        <f>_xlfn.XLOOKUP(L27,'Campaign Metadata'!$A$2:$A$6,'Campaign Metadata'!$C$2:$C$6)</f>
        <v>45747</v>
      </c>
      <c r="P27" t="str">
        <f t="shared" si="0"/>
        <v>Before</v>
      </c>
    </row>
    <row r="28" spans="1:16" x14ac:dyDescent="0.3">
      <c r="A28" t="s">
        <v>34</v>
      </c>
      <c r="B28" s="21" t="s">
        <v>31</v>
      </c>
      <c r="C28" s="5">
        <v>45457</v>
      </c>
      <c r="D28" s="21" t="s">
        <v>28</v>
      </c>
      <c r="E28" s="21" t="s">
        <v>13</v>
      </c>
      <c r="F28" s="22">
        <v>17183</v>
      </c>
      <c r="G28" s="22">
        <v>1224</v>
      </c>
      <c r="H28" s="22">
        <v>943</v>
      </c>
      <c r="I28" s="22">
        <v>2010</v>
      </c>
      <c r="J28" s="22">
        <v>21481</v>
      </c>
      <c r="K28" s="22">
        <v>49110</v>
      </c>
      <c r="L28" s="21" t="s">
        <v>60</v>
      </c>
      <c r="M28" s="4">
        <v>0.39401343921808185</v>
      </c>
      <c r="N28" s="5">
        <f>_xlfn.XLOOKUP(L28,'Campaign Metadata'!$A$2:$A$6,'Campaign Metadata'!$B$2:$B$6)</f>
        <v>45717</v>
      </c>
      <c r="O28" s="5">
        <f>_xlfn.XLOOKUP(L28,'Campaign Metadata'!$A$2:$A$6,'Campaign Metadata'!$C$2:$C$6)</f>
        <v>45747</v>
      </c>
      <c r="P28" t="str">
        <f t="shared" si="0"/>
        <v>Before</v>
      </c>
    </row>
    <row r="29" spans="1:16" x14ac:dyDescent="0.3">
      <c r="A29" t="s">
        <v>286</v>
      </c>
      <c r="B29" s="21" t="s">
        <v>29</v>
      </c>
      <c r="C29" s="5">
        <v>45459</v>
      </c>
      <c r="D29" s="21" t="s">
        <v>27</v>
      </c>
      <c r="E29" s="21" t="s">
        <v>10</v>
      </c>
      <c r="F29" s="22">
        <v>12160</v>
      </c>
      <c r="G29" s="22">
        <v>1405</v>
      </c>
      <c r="H29" s="22">
        <v>769</v>
      </c>
      <c r="I29" s="22">
        <v>1980</v>
      </c>
      <c r="J29" s="22">
        <v>33174</v>
      </c>
      <c r="K29" s="22">
        <v>226481</v>
      </c>
      <c r="L29" s="21" t="s">
        <v>59</v>
      </c>
      <c r="M29" s="4">
        <v>6.329007731332871E-2</v>
      </c>
      <c r="N29" s="5">
        <f>_xlfn.XLOOKUP(L29,'Campaign Metadata'!$A$2:$A$6,'Campaign Metadata'!$B$2:$B$6)</f>
        <v>45651</v>
      </c>
      <c r="O29" s="5">
        <f>_xlfn.XLOOKUP(L29,'Campaign Metadata'!$A$2:$A$6,'Campaign Metadata'!$C$2:$C$6)</f>
        <v>45667</v>
      </c>
      <c r="P29" t="str">
        <f t="shared" si="0"/>
        <v>Before</v>
      </c>
    </row>
    <row r="30" spans="1:16" x14ac:dyDescent="0.3">
      <c r="A30" t="s">
        <v>286</v>
      </c>
      <c r="B30" s="21" t="s">
        <v>29</v>
      </c>
      <c r="C30" s="5">
        <v>45459</v>
      </c>
      <c r="D30" s="21" t="s">
        <v>27</v>
      </c>
      <c r="E30" s="21" t="s">
        <v>8</v>
      </c>
      <c r="F30" s="22">
        <v>12160</v>
      </c>
      <c r="G30" s="22">
        <v>1405</v>
      </c>
      <c r="H30" s="22">
        <v>769</v>
      </c>
      <c r="I30" s="22">
        <v>1980</v>
      </c>
      <c r="J30" s="22">
        <v>33174</v>
      </c>
      <c r="K30" s="22">
        <v>226481</v>
      </c>
      <c r="L30" s="21" t="s">
        <v>59</v>
      </c>
      <c r="M30" s="4">
        <v>6.329007731332871E-2</v>
      </c>
      <c r="N30" s="5">
        <f>_xlfn.XLOOKUP(L30,'Campaign Metadata'!$A$2:$A$6,'Campaign Metadata'!$B$2:$B$6)</f>
        <v>45651</v>
      </c>
      <c r="O30" s="5">
        <f>_xlfn.XLOOKUP(L30,'Campaign Metadata'!$A$2:$A$6,'Campaign Metadata'!$C$2:$C$6)</f>
        <v>45667</v>
      </c>
      <c r="P30" t="str">
        <f t="shared" si="0"/>
        <v>Before</v>
      </c>
    </row>
    <row r="31" spans="1:16" x14ac:dyDescent="0.3">
      <c r="A31" t="s">
        <v>156</v>
      </c>
      <c r="B31" s="21" t="s">
        <v>32</v>
      </c>
      <c r="C31" s="5">
        <v>45460</v>
      </c>
      <c r="D31" s="21" t="s">
        <v>25</v>
      </c>
      <c r="E31" s="21" t="s">
        <v>10</v>
      </c>
      <c r="F31" s="22">
        <v>6976</v>
      </c>
      <c r="G31" s="22">
        <v>1320</v>
      </c>
      <c r="H31" s="22">
        <v>393</v>
      </c>
      <c r="I31" s="22">
        <v>2285</v>
      </c>
      <c r="J31" s="22">
        <v>14049</v>
      </c>
      <c r="K31" s="22">
        <v>101367</v>
      </c>
      <c r="L31" s="21" t="s">
        <v>65</v>
      </c>
      <c r="M31" s="4">
        <v>8.5718231771681114E-2</v>
      </c>
      <c r="N31" s="5">
        <f>_xlfn.XLOOKUP(L31,'Campaign Metadata'!$A$2:$A$6,'Campaign Metadata'!$B$2:$B$6)</f>
        <v>45566</v>
      </c>
      <c r="O31" s="5">
        <f>_xlfn.XLOOKUP(L31,'Campaign Metadata'!$A$2:$A$6,'Campaign Metadata'!$C$2:$C$6)</f>
        <v>45596</v>
      </c>
      <c r="P31" t="str">
        <f t="shared" si="0"/>
        <v>Before</v>
      </c>
    </row>
    <row r="32" spans="1:16" x14ac:dyDescent="0.3">
      <c r="A32" t="s">
        <v>156</v>
      </c>
      <c r="B32" s="21" t="s">
        <v>32</v>
      </c>
      <c r="C32" s="5">
        <v>45460</v>
      </c>
      <c r="D32" s="21" t="s">
        <v>25</v>
      </c>
      <c r="E32" s="21" t="s">
        <v>8</v>
      </c>
      <c r="F32" s="22">
        <v>6976</v>
      </c>
      <c r="G32" s="22">
        <v>1320</v>
      </c>
      <c r="H32" s="22">
        <v>393</v>
      </c>
      <c r="I32" s="22">
        <v>2285</v>
      </c>
      <c r="J32" s="22">
        <v>14049</v>
      </c>
      <c r="K32" s="22">
        <v>101367</v>
      </c>
      <c r="L32" s="21" t="s">
        <v>65</v>
      </c>
      <c r="M32" s="4">
        <v>8.5718231771681114E-2</v>
      </c>
      <c r="N32" s="5">
        <f>_xlfn.XLOOKUP(L32,'Campaign Metadata'!$A$2:$A$6,'Campaign Metadata'!$B$2:$B$6)</f>
        <v>45566</v>
      </c>
      <c r="O32" s="5">
        <f>_xlfn.XLOOKUP(L32,'Campaign Metadata'!$A$2:$A$6,'Campaign Metadata'!$C$2:$C$6)</f>
        <v>45596</v>
      </c>
      <c r="P32" t="str">
        <f t="shared" si="0"/>
        <v>Before</v>
      </c>
    </row>
    <row r="33" spans="1:16" x14ac:dyDescent="0.3">
      <c r="A33" t="s">
        <v>297</v>
      </c>
      <c r="B33" s="21" t="s">
        <v>30</v>
      </c>
      <c r="C33" s="5">
        <v>45460</v>
      </c>
      <c r="D33" s="21" t="s">
        <v>26</v>
      </c>
      <c r="E33" s="21" t="s">
        <v>6</v>
      </c>
      <c r="F33" s="22">
        <v>3252</v>
      </c>
      <c r="G33" s="22">
        <v>1043</v>
      </c>
      <c r="H33" s="22">
        <v>647</v>
      </c>
      <c r="I33" s="22">
        <v>1545</v>
      </c>
      <c r="J33" s="22">
        <v>18859</v>
      </c>
      <c r="K33" s="22">
        <v>222958</v>
      </c>
      <c r="L33" s="21" t="s">
        <v>59</v>
      </c>
      <c r="M33" s="4">
        <v>2.2165609666394567E-2</v>
      </c>
      <c r="N33" s="5">
        <f>_xlfn.XLOOKUP(L33,'Campaign Metadata'!$A$2:$A$6,'Campaign Metadata'!$B$2:$B$6)</f>
        <v>45651</v>
      </c>
      <c r="O33" s="5">
        <f>_xlfn.XLOOKUP(L33,'Campaign Metadata'!$A$2:$A$6,'Campaign Metadata'!$C$2:$C$6)</f>
        <v>45667</v>
      </c>
      <c r="P33" t="str">
        <f t="shared" si="0"/>
        <v>Before</v>
      </c>
    </row>
    <row r="34" spans="1:16" x14ac:dyDescent="0.3">
      <c r="A34" t="s">
        <v>297</v>
      </c>
      <c r="B34" s="21" t="s">
        <v>30</v>
      </c>
      <c r="C34" s="5">
        <v>45460</v>
      </c>
      <c r="D34" s="21" t="s">
        <v>26</v>
      </c>
      <c r="E34" s="21" t="s">
        <v>5</v>
      </c>
      <c r="F34" s="22">
        <v>3252</v>
      </c>
      <c r="G34" s="22">
        <v>1043</v>
      </c>
      <c r="H34" s="22">
        <v>647</v>
      </c>
      <c r="I34" s="22">
        <v>1545</v>
      </c>
      <c r="J34" s="22">
        <v>18859</v>
      </c>
      <c r="K34" s="22">
        <v>222958</v>
      </c>
      <c r="L34" s="21" t="s">
        <v>59</v>
      </c>
      <c r="M34" s="4">
        <v>2.2165609666394567E-2</v>
      </c>
      <c r="N34" s="5">
        <f>_xlfn.XLOOKUP(L34,'Campaign Metadata'!$A$2:$A$6,'Campaign Metadata'!$B$2:$B$6)</f>
        <v>45651</v>
      </c>
      <c r="O34" s="5">
        <f>_xlfn.XLOOKUP(L34,'Campaign Metadata'!$A$2:$A$6,'Campaign Metadata'!$C$2:$C$6)</f>
        <v>45667</v>
      </c>
      <c r="P34" t="str">
        <f t="shared" si="0"/>
        <v>Before</v>
      </c>
    </row>
    <row r="35" spans="1:16" x14ac:dyDescent="0.3">
      <c r="A35" t="s">
        <v>222</v>
      </c>
      <c r="B35" s="21" t="s">
        <v>31</v>
      </c>
      <c r="C35" s="5">
        <v>45462</v>
      </c>
      <c r="D35" s="21" t="s">
        <v>25</v>
      </c>
      <c r="E35" s="21" t="s">
        <v>15</v>
      </c>
      <c r="F35" s="22">
        <v>20444</v>
      </c>
      <c r="G35" s="22">
        <v>233</v>
      </c>
      <c r="H35" s="22">
        <v>189</v>
      </c>
      <c r="I35" s="22">
        <v>2879</v>
      </c>
      <c r="J35" s="22">
        <v>28185</v>
      </c>
      <c r="K35" s="22">
        <v>159891</v>
      </c>
      <c r="L35" s="21" t="s">
        <v>63</v>
      </c>
      <c r="M35" s="4">
        <v>0.13050140408153055</v>
      </c>
      <c r="N35" s="5">
        <f>_xlfn.XLOOKUP(L35,'Campaign Metadata'!$A$2:$A$6,'Campaign Metadata'!$B$2:$B$6)</f>
        <v>45458</v>
      </c>
      <c r="O35" s="5">
        <f>_xlfn.XLOOKUP(L35,'Campaign Metadata'!$A$2:$A$6,'Campaign Metadata'!$C$2:$C$6)</f>
        <v>45488</v>
      </c>
      <c r="P35" t="str">
        <f t="shared" si="0"/>
        <v>During</v>
      </c>
    </row>
    <row r="36" spans="1:16" x14ac:dyDescent="0.3">
      <c r="A36" t="s">
        <v>222</v>
      </c>
      <c r="B36" s="21" t="s">
        <v>31</v>
      </c>
      <c r="C36" s="5">
        <v>45462</v>
      </c>
      <c r="D36" s="21" t="s">
        <v>25</v>
      </c>
      <c r="E36" s="21" t="s">
        <v>18</v>
      </c>
      <c r="F36" s="22">
        <v>20444</v>
      </c>
      <c r="G36" s="22">
        <v>233</v>
      </c>
      <c r="H36" s="22">
        <v>189</v>
      </c>
      <c r="I36" s="22">
        <v>2879</v>
      </c>
      <c r="J36" s="22">
        <v>28185</v>
      </c>
      <c r="K36" s="22">
        <v>159891</v>
      </c>
      <c r="L36" s="21" t="s">
        <v>63</v>
      </c>
      <c r="M36" s="4">
        <v>0.13050140408153055</v>
      </c>
      <c r="N36" s="5">
        <f>_xlfn.XLOOKUP(L36,'Campaign Metadata'!$A$2:$A$6,'Campaign Metadata'!$B$2:$B$6)</f>
        <v>45458</v>
      </c>
      <c r="O36" s="5">
        <f>_xlfn.XLOOKUP(L36,'Campaign Metadata'!$A$2:$A$6,'Campaign Metadata'!$C$2:$C$6)</f>
        <v>45488</v>
      </c>
      <c r="P36" t="str">
        <f t="shared" si="0"/>
        <v>During</v>
      </c>
    </row>
    <row r="37" spans="1:16" x14ac:dyDescent="0.3">
      <c r="A37" t="s">
        <v>271</v>
      </c>
      <c r="B37" s="21" t="s">
        <v>31</v>
      </c>
      <c r="C37" s="5">
        <v>45463</v>
      </c>
      <c r="D37" s="21" t="s">
        <v>28</v>
      </c>
      <c r="E37" s="21" t="s">
        <v>7</v>
      </c>
      <c r="F37" s="22">
        <v>21123</v>
      </c>
      <c r="G37" s="22">
        <v>1343</v>
      </c>
      <c r="H37" s="22">
        <v>589</v>
      </c>
      <c r="I37" s="22">
        <v>727</v>
      </c>
      <c r="J37" s="22">
        <v>87833</v>
      </c>
      <c r="K37" s="22">
        <v>206703</v>
      </c>
      <c r="L37" s="21" t="s">
        <v>59</v>
      </c>
      <c r="M37" s="4">
        <v>0.11153684271636116</v>
      </c>
      <c r="N37" s="5">
        <f>_xlfn.XLOOKUP(L37,'Campaign Metadata'!$A$2:$A$6,'Campaign Metadata'!$B$2:$B$6)</f>
        <v>45651</v>
      </c>
      <c r="O37" s="5">
        <f>_xlfn.XLOOKUP(L37,'Campaign Metadata'!$A$2:$A$6,'Campaign Metadata'!$C$2:$C$6)</f>
        <v>45667</v>
      </c>
      <c r="P37" t="str">
        <f t="shared" si="0"/>
        <v>Before</v>
      </c>
    </row>
    <row r="38" spans="1:16" x14ac:dyDescent="0.3">
      <c r="A38" t="s">
        <v>271</v>
      </c>
      <c r="B38" s="21" t="s">
        <v>31</v>
      </c>
      <c r="C38" s="5">
        <v>45463</v>
      </c>
      <c r="D38" s="21" t="s">
        <v>28</v>
      </c>
      <c r="E38" s="21" t="s">
        <v>9</v>
      </c>
      <c r="F38" s="22">
        <v>21123</v>
      </c>
      <c r="G38" s="22">
        <v>1343</v>
      </c>
      <c r="H38" s="22">
        <v>589</v>
      </c>
      <c r="I38" s="22">
        <v>727</v>
      </c>
      <c r="J38" s="22">
        <v>87833</v>
      </c>
      <c r="K38" s="22">
        <v>206703</v>
      </c>
      <c r="L38" s="21" t="s">
        <v>59</v>
      </c>
      <c r="M38" s="4">
        <v>0.11153684271636116</v>
      </c>
      <c r="N38" s="5">
        <f>_xlfn.XLOOKUP(L38,'Campaign Metadata'!$A$2:$A$6,'Campaign Metadata'!$B$2:$B$6)</f>
        <v>45651</v>
      </c>
      <c r="O38" s="5">
        <f>_xlfn.XLOOKUP(L38,'Campaign Metadata'!$A$2:$A$6,'Campaign Metadata'!$C$2:$C$6)</f>
        <v>45667</v>
      </c>
      <c r="P38" t="str">
        <f t="shared" si="0"/>
        <v>Before</v>
      </c>
    </row>
    <row r="39" spans="1:16" x14ac:dyDescent="0.3">
      <c r="A39" t="s">
        <v>90</v>
      </c>
      <c r="B39" s="21" t="s">
        <v>31</v>
      </c>
      <c r="C39" s="5">
        <v>45464</v>
      </c>
      <c r="D39" s="21" t="s">
        <v>28</v>
      </c>
      <c r="E39" s="21" t="s">
        <v>3</v>
      </c>
      <c r="F39" s="22">
        <v>21216</v>
      </c>
      <c r="G39" s="22">
        <v>1207</v>
      </c>
      <c r="H39" s="22">
        <v>859</v>
      </c>
      <c r="I39" s="22">
        <v>328</v>
      </c>
      <c r="J39" s="22">
        <v>91296</v>
      </c>
      <c r="K39" s="22">
        <v>196683</v>
      </c>
      <c r="L39" s="21" t="s">
        <v>60</v>
      </c>
      <c r="M39" s="4">
        <v>0.1183732198512327</v>
      </c>
      <c r="N39" s="5">
        <f>_xlfn.XLOOKUP(L39,'Campaign Metadata'!$A$2:$A$6,'Campaign Metadata'!$B$2:$B$6)</f>
        <v>45717</v>
      </c>
      <c r="O39" s="5">
        <f>_xlfn.XLOOKUP(L39,'Campaign Metadata'!$A$2:$A$6,'Campaign Metadata'!$C$2:$C$6)</f>
        <v>45747</v>
      </c>
      <c r="P39" t="str">
        <f t="shared" si="0"/>
        <v>Before</v>
      </c>
    </row>
    <row r="40" spans="1:16" x14ac:dyDescent="0.3">
      <c r="A40" t="s">
        <v>90</v>
      </c>
      <c r="B40" s="21" t="s">
        <v>31</v>
      </c>
      <c r="C40" s="5">
        <v>45464</v>
      </c>
      <c r="D40" s="21" t="s">
        <v>28</v>
      </c>
      <c r="E40" s="21" t="s">
        <v>12</v>
      </c>
      <c r="F40" s="22">
        <v>21216</v>
      </c>
      <c r="G40" s="22">
        <v>1207</v>
      </c>
      <c r="H40" s="22">
        <v>859</v>
      </c>
      <c r="I40" s="22">
        <v>328</v>
      </c>
      <c r="J40" s="22">
        <v>91296</v>
      </c>
      <c r="K40" s="22">
        <v>196683</v>
      </c>
      <c r="L40" s="21" t="s">
        <v>60</v>
      </c>
      <c r="M40" s="4">
        <v>0.1183732198512327</v>
      </c>
      <c r="N40" s="5">
        <f>_xlfn.XLOOKUP(L40,'Campaign Metadata'!$A$2:$A$6,'Campaign Metadata'!$B$2:$B$6)</f>
        <v>45717</v>
      </c>
      <c r="O40" s="5">
        <f>_xlfn.XLOOKUP(L40,'Campaign Metadata'!$A$2:$A$6,'Campaign Metadata'!$C$2:$C$6)</f>
        <v>45747</v>
      </c>
      <c r="P40" t="str">
        <f t="shared" si="0"/>
        <v>Before</v>
      </c>
    </row>
    <row r="41" spans="1:16" x14ac:dyDescent="0.3">
      <c r="A41" t="s">
        <v>233</v>
      </c>
      <c r="B41" s="21" t="s">
        <v>32</v>
      </c>
      <c r="C41" s="5">
        <v>45465</v>
      </c>
      <c r="D41" s="21" t="s">
        <v>26</v>
      </c>
      <c r="E41" s="21" t="s">
        <v>7</v>
      </c>
      <c r="F41" s="22">
        <v>16430</v>
      </c>
      <c r="G41" s="22">
        <v>488</v>
      </c>
      <c r="H41" s="22">
        <v>514</v>
      </c>
      <c r="I41" s="22">
        <v>1436</v>
      </c>
      <c r="J41" s="22">
        <v>30059</v>
      </c>
      <c r="K41" s="22">
        <v>223305</v>
      </c>
      <c r="L41" s="21" t="s">
        <v>63</v>
      </c>
      <c r="M41" s="4">
        <v>7.8063634938760881E-2</v>
      </c>
      <c r="N41" s="5">
        <f>_xlfn.XLOOKUP(L41,'Campaign Metadata'!$A$2:$A$6,'Campaign Metadata'!$B$2:$B$6)</f>
        <v>45458</v>
      </c>
      <c r="O41" s="5">
        <f>_xlfn.XLOOKUP(L41,'Campaign Metadata'!$A$2:$A$6,'Campaign Metadata'!$C$2:$C$6)</f>
        <v>45488</v>
      </c>
      <c r="P41" t="str">
        <f t="shared" si="0"/>
        <v>During</v>
      </c>
    </row>
    <row r="42" spans="1:16" x14ac:dyDescent="0.3">
      <c r="A42" t="s">
        <v>233</v>
      </c>
      <c r="B42" s="21" t="s">
        <v>32</v>
      </c>
      <c r="C42" s="5">
        <v>45465</v>
      </c>
      <c r="D42" s="21" t="s">
        <v>26</v>
      </c>
      <c r="E42" s="21" t="s">
        <v>9</v>
      </c>
      <c r="F42" s="22">
        <v>16430</v>
      </c>
      <c r="G42" s="22">
        <v>488</v>
      </c>
      <c r="H42" s="22">
        <v>514</v>
      </c>
      <c r="I42" s="22">
        <v>1436</v>
      </c>
      <c r="J42" s="22">
        <v>30059</v>
      </c>
      <c r="K42" s="22">
        <v>223305</v>
      </c>
      <c r="L42" s="21" t="s">
        <v>63</v>
      </c>
      <c r="M42" s="4">
        <v>7.8063634938760881E-2</v>
      </c>
      <c r="N42" s="5">
        <f>_xlfn.XLOOKUP(L42,'Campaign Metadata'!$A$2:$A$6,'Campaign Metadata'!$B$2:$B$6)</f>
        <v>45458</v>
      </c>
      <c r="O42" s="5">
        <f>_xlfn.XLOOKUP(L42,'Campaign Metadata'!$A$2:$A$6,'Campaign Metadata'!$C$2:$C$6)</f>
        <v>45488</v>
      </c>
      <c r="P42" t="str">
        <f t="shared" si="0"/>
        <v>During</v>
      </c>
    </row>
    <row r="43" spans="1:16" x14ac:dyDescent="0.3">
      <c r="A43" t="s">
        <v>250</v>
      </c>
      <c r="B43" s="21" t="s">
        <v>30</v>
      </c>
      <c r="C43" s="5">
        <v>45465</v>
      </c>
      <c r="D43" s="21" t="s">
        <v>25</v>
      </c>
      <c r="E43" s="21" t="s">
        <v>10</v>
      </c>
      <c r="F43" s="22">
        <v>13479</v>
      </c>
      <c r="G43" s="22">
        <v>1189</v>
      </c>
      <c r="H43" s="22">
        <v>695</v>
      </c>
      <c r="I43" s="22">
        <v>416</v>
      </c>
      <c r="J43" s="22">
        <v>30229</v>
      </c>
      <c r="K43" s="22">
        <v>45704</v>
      </c>
      <c r="L43" s="21" t="s">
        <v>59</v>
      </c>
      <c r="M43" s="4">
        <v>0.33614125678277612</v>
      </c>
      <c r="N43" s="5">
        <f>_xlfn.XLOOKUP(L43,'Campaign Metadata'!$A$2:$A$6,'Campaign Metadata'!$B$2:$B$6)</f>
        <v>45651</v>
      </c>
      <c r="O43" s="5">
        <f>_xlfn.XLOOKUP(L43,'Campaign Metadata'!$A$2:$A$6,'Campaign Metadata'!$C$2:$C$6)</f>
        <v>45667</v>
      </c>
      <c r="P43" t="str">
        <f t="shared" si="0"/>
        <v>Before</v>
      </c>
    </row>
    <row r="44" spans="1:16" x14ac:dyDescent="0.3">
      <c r="A44" t="s">
        <v>250</v>
      </c>
      <c r="B44" s="21" t="s">
        <v>30</v>
      </c>
      <c r="C44" s="5">
        <v>45465</v>
      </c>
      <c r="D44" s="21" t="s">
        <v>25</v>
      </c>
      <c r="E44" s="21" t="s">
        <v>8</v>
      </c>
      <c r="F44" s="22">
        <v>13479</v>
      </c>
      <c r="G44" s="22">
        <v>1189</v>
      </c>
      <c r="H44" s="22">
        <v>695</v>
      </c>
      <c r="I44" s="22">
        <v>416</v>
      </c>
      <c r="J44" s="22">
        <v>30229</v>
      </c>
      <c r="K44" s="22">
        <v>45704</v>
      </c>
      <c r="L44" s="21" t="s">
        <v>59</v>
      </c>
      <c r="M44" s="4">
        <v>0.33614125678277612</v>
      </c>
      <c r="N44" s="5">
        <f>_xlfn.XLOOKUP(L44,'Campaign Metadata'!$A$2:$A$6,'Campaign Metadata'!$B$2:$B$6)</f>
        <v>45651</v>
      </c>
      <c r="O44" s="5">
        <f>_xlfn.XLOOKUP(L44,'Campaign Metadata'!$A$2:$A$6,'Campaign Metadata'!$C$2:$C$6)</f>
        <v>45667</v>
      </c>
      <c r="P44" t="str">
        <f t="shared" si="0"/>
        <v>Before</v>
      </c>
    </row>
    <row r="45" spans="1:16" x14ac:dyDescent="0.3">
      <c r="A45" t="s">
        <v>268</v>
      </c>
      <c r="B45" s="21" t="s">
        <v>32</v>
      </c>
      <c r="C45" s="5">
        <v>45465</v>
      </c>
      <c r="D45" s="21" t="s">
        <v>27</v>
      </c>
      <c r="E45" s="21" t="s">
        <v>9</v>
      </c>
      <c r="F45" s="22">
        <v>7342</v>
      </c>
      <c r="G45" s="22">
        <v>906</v>
      </c>
      <c r="H45" s="22">
        <v>902</v>
      </c>
      <c r="I45" s="22">
        <v>1199</v>
      </c>
      <c r="J45" s="22">
        <v>68488</v>
      </c>
      <c r="K45" s="22">
        <v>79310</v>
      </c>
      <c r="L45" s="21" t="s">
        <v>59</v>
      </c>
      <c r="M45" s="4">
        <v>0.1153700668263775</v>
      </c>
      <c r="N45" s="5">
        <f>_xlfn.XLOOKUP(L45,'Campaign Metadata'!$A$2:$A$6,'Campaign Metadata'!$B$2:$B$6)</f>
        <v>45651</v>
      </c>
      <c r="O45" s="5">
        <f>_xlfn.XLOOKUP(L45,'Campaign Metadata'!$A$2:$A$6,'Campaign Metadata'!$C$2:$C$6)</f>
        <v>45667</v>
      </c>
      <c r="P45" t="str">
        <f t="shared" si="0"/>
        <v>Before</v>
      </c>
    </row>
    <row r="46" spans="1:16" x14ac:dyDescent="0.3">
      <c r="A46" t="s">
        <v>268</v>
      </c>
      <c r="B46" s="21" t="s">
        <v>32</v>
      </c>
      <c r="C46" s="5">
        <v>45465</v>
      </c>
      <c r="D46" s="21" t="s">
        <v>27</v>
      </c>
      <c r="E46" s="21" t="s">
        <v>7</v>
      </c>
      <c r="F46" s="22">
        <v>7342</v>
      </c>
      <c r="G46" s="22">
        <v>906</v>
      </c>
      <c r="H46" s="22">
        <v>902</v>
      </c>
      <c r="I46" s="22">
        <v>1199</v>
      </c>
      <c r="J46" s="22">
        <v>68488</v>
      </c>
      <c r="K46" s="22">
        <v>79310</v>
      </c>
      <c r="L46" s="21" t="s">
        <v>59</v>
      </c>
      <c r="M46" s="4">
        <v>0.1153700668263775</v>
      </c>
      <c r="N46" s="5">
        <f>_xlfn.XLOOKUP(L46,'Campaign Metadata'!$A$2:$A$6,'Campaign Metadata'!$B$2:$B$6)</f>
        <v>45651</v>
      </c>
      <c r="O46" s="5">
        <f>_xlfn.XLOOKUP(L46,'Campaign Metadata'!$A$2:$A$6,'Campaign Metadata'!$C$2:$C$6)</f>
        <v>45667</v>
      </c>
      <c r="P46" t="str">
        <f t="shared" si="0"/>
        <v>Before</v>
      </c>
    </row>
    <row r="47" spans="1:16" x14ac:dyDescent="0.3">
      <c r="A47" t="s">
        <v>95</v>
      </c>
      <c r="B47" s="21" t="s">
        <v>30</v>
      </c>
      <c r="C47" s="5">
        <v>45466</v>
      </c>
      <c r="D47" s="21" t="s">
        <v>27</v>
      </c>
      <c r="E47" s="21" t="s">
        <v>3</v>
      </c>
      <c r="F47" s="22">
        <v>16512</v>
      </c>
      <c r="G47" s="22">
        <v>1050</v>
      </c>
      <c r="H47" s="22">
        <v>971</v>
      </c>
      <c r="I47" s="22">
        <v>1891</v>
      </c>
      <c r="J47" s="22">
        <v>15865</v>
      </c>
      <c r="K47" s="22">
        <v>166503</v>
      </c>
      <c r="L47" s="21" t="s">
        <v>63</v>
      </c>
      <c r="M47" s="4">
        <v>0.1113073037723044</v>
      </c>
      <c r="N47" s="5">
        <f>_xlfn.XLOOKUP(L47,'Campaign Metadata'!$A$2:$A$6,'Campaign Metadata'!$B$2:$B$6)</f>
        <v>45458</v>
      </c>
      <c r="O47" s="5">
        <f>_xlfn.XLOOKUP(L47,'Campaign Metadata'!$A$2:$A$6,'Campaign Metadata'!$C$2:$C$6)</f>
        <v>45488</v>
      </c>
      <c r="P47" t="str">
        <f t="shared" si="0"/>
        <v>During</v>
      </c>
    </row>
    <row r="48" spans="1:16" x14ac:dyDescent="0.3">
      <c r="A48" t="s">
        <v>95</v>
      </c>
      <c r="B48" s="21" t="s">
        <v>30</v>
      </c>
      <c r="C48" s="5">
        <v>45466</v>
      </c>
      <c r="D48" s="21" t="s">
        <v>27</v>
      </c>
      <c r="E48" s="21" t="s">
        <v>13</v>
      </c>
      <c r="F48" s="22">
        <v>16512</v>
      </c>
      <c r="G48" s="22">
        <v>1050</v>
      </c>
      <c r="H48" s="22">
        <v>971</v>
      </c>
      <c r="I48" s="22">
        <v>1891</v>
      </c>
      <c r="J48" s="22">
        <v>15865</v>
      </c>
      <c r="K48" s="22">
        <v>166503</v>
      </c>
      <c r="L48" s="21" t="s">
        <v>63</v>
      </c>
      <c r="M48" s="4">
        <v>0.1113073037723044</v>
      </c>
      <c r="N48" s="5">
        <f>_xlfn.XLOOKUP(L48,'Campaign Metadata'!$A$2:$A$6,'Campaign Metadata'!$B$2:$B$6)</f>
        <v>45458</v>
      </c>
      <c r="O48" s="5">
        <f>_xlfn.XLOOKUP(L48,'Campaign Metadata'!$A$2:$A$6,'Campaign Metadata'!$C$2:$C$6)</f>
        <v>45488</v>
      </c>
      <c r="P48" t="str">
        <f t="shared" si="0"/>
        <v>During</v>
      </c>
    </row>
    <row r="49" spans="1:16" x14ac:dyDescent="0.3">
      <c r="A49" t="s">
        <v>221</v>
      </c>
      <c r="B49" s="21" t="s">
        <v>29</v>
      </c>
      <c r="C49" s="5">
        <v>45467</v>
      </c>
      <c r="D49" s="21" t="s">
        <v>25</v>
      </c>
      <c r="E49" s="21" t="s">
        <v>5</v>
      </c>
      <c r="F49" s="22">
        <v>7713</v>
      </c>
      <c r="G49" s="22">
        <v>575</v>
      </c>
      <c r="H49" s="22">
        <v>417</v>
      </c>
      <c r="I49" s="22">
        <v>336</v>
      </c>
      <c r="J49" s="22">
        <v>61660</v>
      </c>
      <c r="K49" s="22">
        <v>66017</v>
      </c>
      <c r="L49" s="21" t="s">
        <v>63</v>
      </c>
      <c r="M49" s="4">
        <v>0.13185997546086614</v>
      </c>
      <c r="N49" s="5">
        <f>_xlfn.XLOOKUP(L49,'Campaign Metadata'!$A$2:$A$6,'Campaign Metadata'!$B$2:$B$6)</f>
        <v>45458</v>
      </c>
      <c r="O49" s="5">
        <f>_xlfn.XLOOKUP(L49,'Campaign Metadata'!$A$2:$A$6,'Campaign Metadata'!$C$2:$C$6)</f>
        <v>45488</v>
      </c>
      <c r="P49" t="str">
        <f t="shared" si="0"/>
        <v>During</v>
      </c>
    </row>
    <row r="50" spans="1:16" x14ac:dyDescent="0.3">
      <c r="A50" t="s">
        <v>221</v>
      </c>
      <c r="B50" s="21" t="s">
        <v>29</v>
      </c>
      <c r="C50" s="5">
        <v>45467</v>
      </c>
      <c r="D50" s="21" t="s">
        <v>25</v>
      </c>
      <c r="E50" s="21" t="s">
        <v>6</v>
      </c>
      <c r="F50" s="22">
        <v>7713</v>
      </c>
      <c r="G50" s="22">
        <v>575</v>
      </c>
      <c r="H50" s="22">
        <v>417</v>
      </c>
      <c r="I50" s="22">
        <v>336</v>
      </c>
      <c r="J50" s="22">
        <v>61660</v>
      </c>
      <c r="K50" s="22">
        <v>66017</v>
      </c>
      <c r="L50" s="21" t="s">
        <v>63</v>
      </c>
      <c r="M50" s="4">
        <v>0.13185997546086614</v>
      </c>
      <c r="N50" s="5">
        <f>_xlfn.XLOOKUP(L50,'Campaign Metadata'!$A$2:$A$6,'Campaign Metadata'!$B$2:$B$6)</f>
        <v>45458</v>
      </c>
      <c r="O50" s="5">
        <f>_xlfn.XLOOKUP(L50,'Campaign Metadata'!$A$2:$A$6,'Campaign Metadata'!$C$2:$C$6)</f>
        <v>45488</v>
      </c>
      <c r="P50" t="str">
        <f t="shared" si="0"/>
        <v>During</v>
      </c>
    </row>
    <row r="51" spans="1:16" x14ac:dyDescent="0.3">
      <c r="A51" t="s">
        <v>134</v>
      </c>
      <c r="B51" s="21" t="s">
        <v>29</v>
      </c>
      <c r="C51" s="5">
        <v>45467</v>
      </c>
      <c r="D51" s="21" t="s">
        <v>26</v>
      </c>
      <c r="E51" s="21" t="s">
        <v>3</v>
      </c>
      <c r="F51" s="22">
        <v>6632</v>
      </c>
      <c r="G51" s="22">
        <v>254</v>
      </c>
      <c r="H51" s="22">
        <v>525</v>
      </c>
      <c r="I51" s="22">
        <v>1013</v>
      </c>
      <c r="J51" s="22">
        <v>13838</v>
      </c>
      <c r="K51" s="22">
        <v>180180</v>
      </c>
      <c r="L51" s="21" t="s">
        <v>59</v>
      </c>
      <c r="M51" s="4">
        <v>4.1131091131091133E-2</v>
      </c>
      <c r="N51" s="5">
        <f>_xlfn.XLOOKUP(L51,'Campaign Metadata'!$A$2:$A$6,'Campaign Metadata'!$B$2:$B$6)</f>
        <v>45651</v>
      </c>
      <c r="O51" s="5">
        <f>_xlfn.XLOOKUP(L51,'Campaign Metadata'!$A$2:$A$6,'Campaign Metadata'!$C$2:$C$6)</f>
        <v>45667</v>
      </c>
      <c r="P51" t="str">
        <f t="shared" si="0"/>
        <v>Before</v>
      </c>
    </row>
    <row r="52" spans="1:16" x14ac:dyDescent="0.3">
      <c r="A52" t="s">
        <v>134</v>
      </c>
      <c r="B52" s="21" t="s">
        <v>29</v>
      </c>
      <c r="C52" s="5">
        <v>45467</v>
      </c>
      <c r="D52" s="21" t="s">
        <v>26</v>
      </c>
      <c r="E52" s="21" t="s">
        <v>13</v>
      </c>
      <c r="F52" s="22">
        <v>6632</v>
      </c>
      <c r="G52" s="22">
        <v>254</v>
      </c>
      <c r="H52" s="22">
        <v>525</v>
      </c>
      <c r="I52" s="22">
        <v>1013</v>
      </c>
      <c r="J52" s="22">
        <v>13838</v>
      </c>
      <c r="K52" s="22">
        <v>180180</v>
      </c>
      <c r="L52" s="21" t="s">
        <v>59</v>
      </c>
      <c r="M52" s="4">
        <v>4.1131091131091133E-2</v>
      </c>
      <c r="N52" s="5">
        <f>_xlfn.XLOOKUP(L52,'Campaign Metadata'!$A$2:$A$6,'Campaign Metadata'!$B$2:$B$6)</f>
        <v>45651</v>
      </c>
      <c r="O52" s="5">
        <f>_xlfn.XLOOKUP(L52,'Campaign Metadata'!$A$2:$A$6,'Campaign Metadata'!$C$2:$C$6)</f>
        <v>45667</v>
      </c>
      <c r="P52" t="str">
        <f t="shared" si="0"/>
        <v>Before</v>
      </c>
    </row>
    <row r="53" spans="1:16" x14ac:dyDescent="0.3">
      <c r="A53" t="s">
        <v>275</v>
      </c>
      <c r="B53" s="21" t="s">
        <v>30</v>
      </c>
      <c r="C53" s="5">
        <v>45467</v>
      </c>
      <c r="D53" s="21" t="s">
        <v>27</v>
      </c>
      <c r="E53" s="21" t="s">
        <v>16</v>
      </c>
      <c r="F53" s="22">
        <v>5596</v>
      </c>
      <c r="G53" s="22">
        <v>1231</v>
      </c>
      <c r="H53" s="22">
        <v>473</v>
      </c>
      <c r="I53" s="22">
        <v>2251</v>
      </c>
      <c r="J53" s="22">
        <v>43705</v>
      </c>
      <c r="K53" s="22">
        <v>75643</v>
      </c>
      <c r="L53" s="21" t="s">
        <v>59</v>
      </c>
      <c r="M53" s="4">
        <v>9.6505955607260427E-2</v>
      </c>
      <c r="N53" s="5">
        <f>_xlfn.XLOOKUP(L53,'Campaign Metadata'!$A$2:$A$6,'Campaign Metadata'!$B$2:$B$6)</f>
        <v>45651</v>
      </c>
      <c r="O53" s="5">
        <f>_xlfn.XLOOKUP(L53,'Campaign Metadata'!$A$2:$A$6,'Campaign Metadata'!$C$2:$C$6)</f>
        <v>45667</v>
      </c>
      <c r="P53" t="str">
        <f t="shared" si="0"/>
        <v>Before</v>
      </c>
    </row>
    <row r="54" spans="1:16" x14ac:dyDescent="0.3">
      <c r="A54" t="s">
        <v>275</v>
      </c>
      <c r="B54" s="21" t="s">
        <v>30</v>
      </c>
      <c r="C54" s="5">
        <v>45467</v>
      </c>
      <c r="D54" s="21" t="s">
        <v>27</v>
      </c>
      <c r="E54" s="21" t="s">
        <v>4</v>
      </c>
      <c r="F54" s="22">
        <v>5596</v>
      </c>
      <c r="G54" s="22">
        <v>1231</v>
      </c>
      <c r="H54" s="22">
        <v>473</v>
      </c>
      <c r="I54" s="22">
        <v>2251</v>
      </c>
      <c r="J54" s="22">
        <v>43705</v>
      </c>
      <c r="K54" s="22">
        <v>75643</v>
      </c>
      <c r="L54" s="21" t="s">
        <v>59</v>
      </c>
      <c r="M54" s="4">
        <v>9.6505955607260427E-2</v>
      </c>
      <c r="N54" s="5">
        <f>_xlfn.XLOOKUP(L54,'Campaign Metadata'!$A$2:$A$6,'Campaign Metadata'!$B$2:$B$6)</f>
        <v>45651</v>
      </c>
      <c r="O54" s="5">
        <f>_xlfn.XLOOKUP(L54,'Campaign Metadata'!$A$2:$A$6,'Campaign Metadata'!$C$2:$C$6)</f>
        <v>45667</v>
      </c>
      <c r="P54" t="str">
        <f t="shared" si="0"/>
        <v>Before</v>
      </c>
    </row>
    <row r="55" spans="1:16" x14ac:dyDescent="0.3">
      <c r="A55" t="s">
        <v>266</v>
      </c>
      <c r="B55" s="21" t="s">
        <v>31</v>
      </c>
      <c r="C55" s="5">
        <v>45474</v>
      </c>
      <c r="D55" s="21" t="s">
        <v>28</v>
      </c>
      <c r="E55" s="21" t="s">
        <v>11</v>
      </c>
      <c r="F55" s="22">
        <v>3761</v>
      </c>
      <c r="G55" s="22">
        <v>651</v>
      </c>
      <c r="H55" s="22">
        <v>493</v>
      </c>
      <c r="I55" s="22">
        <v>2294</v>
      </c>
      <c r="J55" s="22">
        <v>71696</v>
      </c>
      <c r="K55" s="22">
        <v>41177</v>
      </c>
      <c r="L55" s="21" t="s">
        <v>59</v>
      </c>
      <c r="M55" s="4">
        <v>0.11911989702989532</v>
      </c>
      <c r="N55" s="5">
        <f>_xlfn.XLOOKUP(L55,'Campaign Metadata'!$A$2:$A$6,'Campaign Metadata'!$B$2:$B$6)</f>
        <v>45651</v>
      </c>
      <c r="O55" s="5">
        <f>_xlfn.XLOOKUP(L55,'Campaign Metadata'!$A$2:$A$6,'Campaign Metadata'!$C$2:$C$6)</f>
        <v>45667</v>
      </c>
      <c r="P55" t="str">
        <f t="shared" si="0"/>
        <v>Before</v>
      </c>
    </row>
    <row r="56" spans="1:16" x14ac:dyDescent="0.3">
      <c r="A56" t="s">
        <v>266</v>
      </c>
      <c r="B56" s="21" t="s">
        <v>31</v>
      </c>
      <c r="C56" s="5">
        <v>45474</v>
      </c>
      <c r="D56" s="21" t="s">
        <v>28</v>
      </c>
      <c r="E56" s="21" t="s">
        <v>1</v>
      </c>
      <c r="F56" s="22">
        <v>3761</v>
      </c>
      <c r="G56" s="22">
        <v>651</v>
      </c>
      <c r="H56" s="22">
        <v>493</v>
      </c>
      <c r="I56" s="22">
        <v>2294</v>
      </c>
      <c r="J56" s="22">
        <v>71696</v>
      </c>
      <c r="K56" s="22">
        <v>41177</v>
      </c>
      <c r="L56" s="21" t="s">
        <v>59</v>
      </c>
      <c r="M56" s="4">
        <v>0.11911989702989532</v>
      </c>
      <c r="N56" s="5">
        <f>_xlfn.XLOOKUP(L56,'Campaign Metadata'!$A$2:$A$6,'Campaign Metadata'!$B$2:$B$6)</f>
        <v>45651</v>
      </c>
      <c r="O56" s="5">
        <f>_xlfn.XLOOKUP(L56,'Campaign Metadata'!$A$2:$A$6,'Campaign Metadata'!$C$2:$C$6)</f>
        <v>45667</v>
      </c>
      <c r="P56" t="str">
        <f t="shared" si="0"/>
        <v>Before</v>
      </c>
    </row>
    <row r="57" spans="1:16" x14ac:dyDescent="0.3">
      <c r="A57" t="s">
        <v>237</v>
      </c>
      <c r="B57" s="21" t="s">
        <v>31</v>
      </c>
      <c r="C57" s="5">
        <v>45475</v>
      </c>
      <c r="D57" s="21" t="s">
        <v>25</v>
      </c>
      <c r="E57" s="21" t="s">
        <v>5</v>
      </c>
      <c r="F57" s="22">
        <v>12320</v>
      </c>
      <c r="G57" s="22">
        <v>1157</v>
      </c>
      <c r="H57" s="22">
        <v>365</v>
      </c>
      <c r="I57" s="22">
        <v>584</v>
      </c>
      <c r="J57" s="22">
        <v>66634</v>
      </c>
      <c r="K57" s="22">
        <v>210102</v>
      </c>
      <c r="L57" s="21" t="s">
        <v>63</v>
      </c>
      <c r="M57" s="4">
        <v>6.5882285746922925E-2</v>
      </c>
      <c r="N57" s="5">
        <f>_xlfn.XLOOKUP(L57,'Campaign Metadata'!$A$2:$A$6,'Campaign Metadata'!$B$2:$B$6)</f>
        <v>45458</v>
      </c>
      <c r="O57" s="5">
        <f>_xlfn.XLOOKUP(L57,'Campaign Metadata'!$A$2:$A$6,'Campaign Metadata'!$C$2:$C$6)</f>
        <v>45488</v>
      </c>
      <c r="P57" t="str">
        <f t="shared" si="0"/>
        <v>During</v>
      </c>
    </row>
    <row r="58" spans="1:16" x14ac:dyDescent="0.3">
      <c r="A58" t="s">
        <v>237</v>
      </c>
      <c r="B58" s="21" t="s">
        <v>31</v>
      </c>
      <c r="C58" s="5">
        <v>45475</v>
      </c>
      <c r="D58" s="21" t="s">
        <v>25</v>
      </c>
      <c r="E58" s="21" t="s">
        <v>6</v>
      </c>
      <c r="F58" s="22">
        <v>12320</v>
      </c>
      <c r="G58" s="22">
        <v>1157</v>
      </c>
      <c r="H58" s="22">
        <v>365</v>
      </c>
      <c r="I58" s="22">
        <v>584</v>
      </c>
      <c r="J58" s="22">
        <v>66634</v>
      </c>
      <c r="K58" s="22">
        <v>210102</v>
      </c>
      <c r="L58" s="21" t="s">
        <v>63</v>
      </c>
      <c r="M58" s="4">
        <v>6.5882285746922925E-2</v>
      </c>
      <c r="N58" s="5">
        <f>_xlfn.XLOOKUP(L58,'Campaign Metadata'!$A$2:$A$6,'Campaign Metadata'!$B$2:$B$6)</f>
        <v>45458</v>
      </c>
      <c r="O58" s="5">
        <f>_xlfn.XLOOKUP(L58,'Campaign Metadata'!$A$2:$A$6,'Campaign Metadata'!$C$2:$C$6)</f>
        <v>45488</v>
      </c>
      <c r="P58" t="str">
        <f t="shared" si="0"/>
        <v>During</v>
      </c>
    </row>
    <row r="59" spans="1:16" x14ac:dyDescent="0.3">
      <c r="A59" t="s">
        <v>217</v>
      </c>
      <c r="B59" s="21" t="s">
        <v>31</v>
      </c>
      <c r="C59" s="5">
        <v>45476</v>
      </c>
      <c r="D59" s="21" t="s">
        <v>27</v>
      </c>
      <c r="E59" s="21" t="s">
        <v>6</v>
      </c>
      <c r="F59" s="22">
        <v>14338</v>
      </c>
      <c r="G59" s="22">
        <v>1454</v>
      </c>
      <c r="H59" s="22">
        <v>697</v>
      </c>
      <c r="I59" s="22">
        <v>2703</v>
      </c>
      <c r="J59" s="22">
        <v>21288</v>
      </c>
      <c r="K59" s="22">
        <v>107649</v>
      </c>
      <c r="L59" s="21" t="s">
        <v>63</v>
      </c>
      <c r="M59" s="4">
        <v>0.1531737405828201</v>
      </c>
      <c r="N59" s="5">
        <f>_xlfn.XLOOKUP(L59,'Campaign Metadata'!$A$2:$A$6,'Campaign Metadata'!$B$2:$B$6)</f>
        <v>45458</v>
      </c>
      <c r="O59" s="5">
        <f>_xlfn.XLOOKUP(L59,'Campaign Metadata'!$A$2:$A$6,'Campaign Metadata'!$C$2:$C$6)</f>
        <v>45488</v>
      </c>
      <c r="P59" t="str">
        <f t="shared" si="0"/>
        <v>During</v>
      </c>
    </row>
    <row r="60" spans="1:16" x14ac:dyDescent="0.3">
      <c r="A60" t="s">
        <v>217</v>
      </c>
      <c r="B60" s="21" t="s">
        <v>31</v>
      </c>
      <c r="C60" s="5">
        <v>45476</v>
      </c>
      <c r="D60" s="21" t="s">
        <v>27</v>
      </c>
      <c r="E60" s="21" t="s">
        <v>5</v>
      </c>
      <c r="F60" s="22">
        <v>14338</v>
      </c>
      <c r="G60" s="22">
        <v>1454</v>
      </c>
      <c r="H60" s="22">
        <v>697</v>
      </c>
      <c r="I60" s="22">
        <v>2703</v>
      </c>
      <c r="J60" s="22">
        <v>21288</v>
      </c>
      <c r="K60" s="22">
        <v>107649</v>
      </c>
      <c r="L60" s="21" t="s">
        <v>63</v>
      </c>
      <c r="M60" s="4">
        <v>0.1531737405828201</v>
      </c>
      <c r="N60" s="5">
        <f>_xlfn.XLOOKUP(L60,'Campaign Metadata'!$A$2:$A$6,'Campaign Metadata'!$B$2:$B$6)</f>
        <v>45458</v>
      </c>
      <c r="O60" s="5">
        <f>_xlfn.XLOOKUP(L60,'Campaign Metadata'!$A$2:$A$6,'Campaign Metadata'!$C$2:$C$6)</f>
        <v>45488</v>
      </c>
      <c r="P60" t="str">
        <f t="shared" si="0"/>
        <v>During</v>
      </c>
    </row>
    <row r="61" spans="1:16" x14ac:dyDescent="0.3">
      <c r="A61" t="s">
        <v>191</v>
      </c>
      <c r="B61" s="21" t="s">
        <v>29</v>
      </c>
      <c r="C61" s="5">
        <v>45476</v>
      </c>
      <c r="D61" s="21" t="s">
        <v>28</v>
      </c>
      <c r="E61" s="21" t="s">
        <v>16</v>
      </c>
      <c r="F61" s="22">
        <v>12167</v>
      </c>
      <c r="G61" s="22">
        <v>364</v>
      </c>
      <c r="H61" s="22">
        <v>160</v>
      </c>
      <c r="I61" s="22">
        <v>616</v>
      </c>
      <c r="J61" s="22">
        <v>42228</v>
      </c>
      <c r="K61" s="22">
        <v>175832</v>
      </c>
      <c r="L61" s="21" t="s">
        <v>60</v>
      </c>
      <c r="M61" s="4">
        <v>7.2176850630146963E-2</v>
      </c>
      <c r="N61" s="5">
        <f>_xlfn.XLOOKUP(L61,'Campaign Metadata'!$A$2:$A$6,'Campaign Metadata'!$B$2:$B$6)</f>
        <v>45717</v>
      </c>
      <c r="O61" s="5">
        <f>_xlfn.XLOOKUP(L61,'Campaign Metadata'!$A$2:$A$6,'Campaign Metadata'!$C$2:$C$6)</f>
        <v>45747</v>
      </c>
      <c r="P61" t="str">
        <f t="shared" si="0"/>
        <v>Before</v>
      </c>
    </row>
    <row r="62" spans="1:16" x14ac:dyDescent="0.3">
      <c r="A62" t="s">
        <v>191</v>
      </c>
      <c r="B62" s="21" t="s">
        <v>29</v>
      </c>
      <c r="C62" s="5">
        <v>45476</v>
      </c>
      <c r="D62" s="21" t="s">
        <v>28</v>
      </c>
      <c r="E62" s="21" t="s">
        <v>4</v>
      </c>
      <c r="F62" s="22">
        <v>12167</v>
      </c>
      <c r="G62" s="22">
        <v>364</v>
      </c>
      <c r="H62" s="22">
        <v>160</v>
      </c>
      <c r="I62" s="22">
        <v>616</v>
      </c>
      <c r="J62" s="22">
        <v>42228</v>
      </c>
      <c r="K62" s="22">
        <v>175832</v>
      </c>
      <c r="L62" s="21" t="s">
        <v>60</v>
      </c>
      <c r="M62" s="4">
        <v>7.2176850630146963E-2</v>
      </c>
      <c r="N62" s="5">
        <f>_xlfn.XLOOKUP(L62,'Campaign Metadata'!$A$2:$A$6,'Campaign Metadata'!$B$2:$B$6)</f>
        <v>45717</v>
      </c>
      <c r="O62" s="5">
        <f>_xlfn.XLOOKUP(L62,'Campaign Metadata'!$A$2:$A$6,'Campaign Metadata'!$C$2:$C$6)</f>
        <v>45747</v>
      </c>
      <c r="P62" t="str">
        <f t="shared" si="0"/>
        <v>Before</v>
      </c>
    </row>
    <row r="63" spans="1:16" x14ac:dyDescent="0.3">
      <c r="A63" t="s">
        <v>261</v>
      </c>
      <c r="B63" s="21" t="s">
        <v>29</v>
      </c>
      <c r="C63" s="5">
        <v>45480</v>
      </c>
      <c r="D63" s="21" t="s">
        <v>27</v>
      </c>
      <c r="E63" s="21" t="s">
        <v>16</v>
      </c>
      <c r="F63" s="22">
        <v>24625</v>
      </c>
      <c r="G63" s="22">
        <v>749</v>
      </c>
      <c r="H63" s="22">
        <v>193</v>
      </c>
      <c r="I63" s="22">
        <v>1340</v>
      </c>
      <c r="J63" s="22">
        <v>4890</v>
      </c>
      <c r="K63" s="22">
        <v>189381</v>
      </c>
      <c r="L63" s="21" t="s">
        <v>59</v>
      </c>
      <c r="M63" s="4">
        <v>0.13500298340382616</v>
      </c>
      <c r="N63" s="5">
        <f>_xlfn.XLOOKUP(L63,'Campaign Metadata'!$A$2:$A$6,'Campaign Metadata'!$B$2:$B$6)</f>
        <v>45651</v>
      </c>
      <c r="O63" s="5">
        <f>_xlfn.XLOOKUP(L63,'Campaign Metadata'!$A$2:$A$6,'Campaign Metadata'!$C$2:$C$6)</f>
        <v>45667</v>
      </c>
      <c r="P63" t="str">
        <f t="shared" si="0"/>
        <v>Before</v>
      </c>
    </row>
    <row r="64" spans="1:16" x14ac:dyDescent="0.3">
      <c r="A64" t="s">
        <v>261</v>
      </c>
      <c r="B64" s="21" t="s">
        <v>29</v>
      </c>
      <c r="C64" s="5">
        <v>45480</v>
      </c>
      <c r="D64" s="21" t="s">
        <v>27</v>
      </c>
      <c r="E64" s="21" t="s">
        <v>4</v>
      </c>
      <c r="F64" s="22">
        <v>24625</v>
      </c>
      <c r="G64" s="22">
        <v>749</v>
      </c>
      <c r="H64" s="22">
        <v>193</v>
      </c>
      <c r="I64" s="22">
        <v>1340</v>
      </c>
      <c r="J64" s="22">
        <v>4890</v>
      </c>
      <c r="K64" s="22">
        <v>189381</v>
      </c>
      <c r="L64" s="21" t="s">
        <v>59</v>
      </c>
      <c r="M64" s="4">
        <v>0.13500298340382616</v>
      </c>
      <c r="N64" s="5">
        <f>_xlfn.XLOOKUP(L64,'Campaign Metadata'!$A$2:$A$6,'Campaign Metadata'!$B$2:$B$6)</f>
        <v>45651</v>
      </c>
      <c r="O64" s="5">
        <f>_xlfn.XLOOKUP(L64,'Campaign Metadata'!$A$2:$A$6,'Campaign Metadata'!$C$2:$C$6)</f>
        <v>45667</v>
      </c>
      <c r="P64" t="str">
        <f t="shared" si="0"/>
        <v>Before</v>
      </c>
    </row>
    <row r="65" spans="1:16" x14ac:dyDescent="0.3">
      <c r="A65" t="s">
        <v>161</v>
      </c>
      <c r="B65" s="21" t="s">
        <v>32</v>
      </c>
      <c r="C65" s="5">
        <v>45483</v>
      </c>
      <c r="D65" s="21" t="s">
        <v>26</v>
      </c>
      <c r="E65" s="21" t="s">
        <v>18</v>
      </c>
      <c r="F65" s="22">
        <v>8809</v>
      </c>
      <c r="G65" s="22">
        <v>1151</v>
      </c>
      <c r="H65" s="22">
        <v>908</v>
      </c>
      <c r="I65" s="22">
        <v>883</v>
      </c>
      <c r="J65" s="22">
        <v>42921</v>
      </c>
      <c r="K65" s="22">
        <v>151279</v>
      </c>
      <c r="L65" s="21" t="s">
        <v>65</v>
      </c>
      <c r="M65" s="4">
        <v>7.1840771025720687E-2</v>
      </c>
      <c r="N65" s="5">
        <f>_xlfn.XLOOKUP(L65,'Campaign Metadata'!$A$2:$A$6,'Campaign Metadata'!$B$2:$B$6)</f>
        <v>45566</v>
      </c>
      <c r="O65" s="5">
        <f>_xlfn.XLOOKUP(L65,'Campaign Metadata'!$A$2:$A$6,'Campaign Metadata'!$C$2:$C$6)</f>
        <v>45596</v>
      </c>
      <c r="P65" t="str">
        <f t="shared" si="0"/>
        <v>Before</v>
      </c>
    </row>
    <row r="66" spans="1:16" x14ac:dyDescent="0.3">
      <c r="A66" t="s">
        <v>161</v>
      </c>
      <c r="B66" s="21" t="s">
        <v>32</v>
      </c>
      <c r="C66" s="5">
        <v>45483</v>
      </c>
      <c r="D66" s="21" t="s">
        <v>26</v>
      </c>
      <c r="E66" s="21" t="s">
        <v>15</v>
      </c>
      <c r="F66" s="22">
        <v>8809</v>
      </c>
      <c r="G66" s="22">
        <v>1151</v>
      </c>
      <c r="H66" s="22">
        <v>908</v>
      </c>
      <c r="I66" s="22">
        <v>883</v>
      </c>
      <c r="J66" s="22">
        <v>42921</v>
      </c>
      <c r="K66" s="22">
        <v>151279</v>
      </c>
      <c r="L66" s="21" t="s">
        <v>65</v>
      </c>
      <c r="M66" s="4">
        <v>7.1840771025720687E-2</v>
      </c>
      <c r="N66" s="5">
        <f>_xlfn.XLOOKUP(L66,'Campaign Metadata'!$A$2:$A$6,'Campaign Metadata'!$B$2:$B$6)</f>
        <v>45566</v>
      </c>
      <c r="O66" s="5">
        <f>_xlfn.XLOOKUP(L66,'Campaign Metadata'!$A$2:$A$6,'Campaign Metadata'!$C$2:$C$6)</f>
        <v>45596</v>
      </c>
      <c r="P66" t="str">
        <f t="shared" si="0"/>
        <v>Before</v>
      </c>
    </row>
    <row r="67" spans="1:16" x14ac:dyDescent="0.3">
      <c r="A67" t="s">
        <v>232</v>
      </c>
      <c r="B67" s="21" t="s">
        <v>29</v>
      </c>
      <c r="C67" s="5">
        <v>45486</v>
      </c>
      <c r="D67" s="21" t="s">
        <v>28</v>
      </c>
      <c r="E67" s="21" t="s">
        <v>7</v>
      </c>
      <c r="F67" s="22">
        <v>18639</v>
      </c>
      <c r="G67" s="22">
        <v>1360</v>
      </c>
      <c r="H67" s="22">
        <v>898</v>
      </c>
      <c r="I67" s="22">
        <v>2011</v>
      </c>
      <c r="J67" s="22">
        <v>42841</v>
      </c>
      <c r="K67" s="22">
        <v>247779</v>
      </c>
      <c r="L67" s="21" t="s">
        <v>63</v>
      </c>
      <c r="M67" s="4">
        <v>8.4337252148083575E-2</v>
      </c>
      <c r="N67" s="5">
        <f>_xlfn.XLOOKUP(L67,'Campaign Metadata'!$A$2:$A$6,'Campaign Metadata'!$B$2:$B$6)</f>
        <v>45458</v>
      </c>
      <c r="O67" s="5">
        <f>_xlfn.XLOOKUP(L67,'Campaign Metadata'!$A$2:$A$6,'Campaign Metadata'!$C$2:$C$6)</f>
        <v>45488</v>
      </c>
      <c r="P67" t="str">
        <f t="shared" ref="P67:P130" si="1">IF(C67&lt;N67, "Before", IF(C67&gt;O67, "After", "During"))</f>
        <v>During</v>
      </c>
    </row>
    <row r="68" spans="1:16" x14ac:dyDescent="0.3">
      <c r="A68" t="s">
        <v>232</v>
      </c>
      <c r="B68" s="21" t="s">
        <v>29</v>
      </c>
      <c r="C68" s="5">
        <v>45486</v>
      </c>
      <c r="D68" s="21" t="s">
        <v>28</v>
      </c>
      <c r="E68" s="21" t="s">
        <v>9</v>
      </c>
      <c r="F68" s="22">
        <v>18639</v>
      </c>
      <c r="G68" s="22">
        <v>1360</v>
      </c>
      <c r="H68" s="22">
        <v>898</v>
      </c>
      <c r="I68" s="22">
        <v>2011</v>
      </c>
      <c r="J68" s="22">
        <v>42841</v>
      </c>
      <c r="K68" s="22">
        <v>247779</v>
      </c>
      <c r="L68" s="21" t="s">
        <v>63</v>
      </c>
      <c r="M68" s="4">
        <v>8.4337252148083575E-2</v>
      </c>
      <c r="N68" s="5">
        <f>_xlfn.XLOOKUP(L68,'Campaign Metadata'!$A$2:$A$6,'Campaign Metadata'!$B$2:$B$6)</f>
        <v>45458</v>
      </c>
      <c r="O68" s="5">
        <f>_xlfn.XLOOKUP(L68,'Campaign Metadata'!$A$2:$A$6,'Campaign Metadata'!$C$2:$C$6)</f>
        <v>45488</v>
      </c>
      <c r="P68" t="str">
        <f t="shared" si="1"/>
        <v>During</v>
      </c>
    </row>
    <row r="69" spans="1:16" x14ac:dyDescent="0.3">
      <c r="A69" t="s">
        <v>252</v>
      </c>
      <c r="B69" s="21" t="s">
        <v>29</v>
      </c>
      <c r="C69" s="5">
        <v>45488</v>
      </c>
      <c r="D69" s="21" t="s">
        <v>27</v>
      </c>
      <c r="E69" s="21" t="s">
        <v>5</v>
      </c>
      <c r="F69" s="22">
        <v>14891</v>
      </c>
      <c r="G69" s="22">
        <v>674</v>
      </c>
      <c r="H69" s="22">
        <v>521</v>
      </c>
      <c r="I69" s="22">
        <v>1091</v>
      </c>
      <c r="J69" s="22">
        <v>18101</v>
      </c>
      <c r="K69" s="22">
        <v>53669</v>
      </c>
      <c r="L69" s="21" t="s">
        <v>59</v>
      </c>
      <c r="M69" s="4">
        <v>0.29972609886526674</v>
      </c>
      <c r="N69" s="5">
        <f>_xlfn.XLOOKUP(L69,'Campaign Metadata'!$A$2:$A$6,'Campaign Metadata'!$B$2:$B$6)</f>
        <v>45651</v>
      </c>
      <c r="O69" s="5">
        <f>_xlfn.XLOOKUP(L69,'Campaign Metadata'!$A$2:$A$6,'Campaign Metadata'!$C$2:$C$6)</f>
        <v>45667</v>
      </c>
      <c r="P69" t="str">
        <f t="shared" si="1"/>
        <v>Before</v>
      </c>
    </row>
    <row r="70" spans="1:16" x14ac:dyDescent="0.3">
      <c r="A70" t="s">
        <v>252</v>
      </c>
      <c r="B70" s="21" t="s">
        <v>29</v>
      </c>
      <c r="C70" s="5">
        <v>45488</v>
      </c>
      <c r="D70" s="21" t="s">
        <v>27</v>
      </c>
      <c r="E70" s="21" t="s">
        <v>6</v>
      </c>
      <c r="F70" s="22">
        <v>14891</v>
      </c>
      <c r="G70" s="22">
        <v>674</v>
      </c>
      <c r="H70" s="22">
        <v>521</v>
      </c>
      <c r="I70" s="22">
        <v>1091</v>
      </c>
      <c r="J70" s="22">
        <v>18101</v>
      </c>
      <c r="K70" s="22">
        <v>53669</v>
      </c>
      <c r="L70" s="21" t="s">
        <v>59</v>
      </c>
      <c r="M70" s="4">
        <v>0.29972609886526674</v>
      </c>
      <c r="N70" s="5">
        <f>_xlfn.XLOOKUP(L70,'Campaign Metadata'!$A$2:$A$6,'Campaign Metadata'!$B$2:$B$6)</f>
        <v>45651</v>
      </c>
      <c r="O70" s="5">
        <f>_xlfn.XLOOKUP(L70,'Campaign Metadata'!$A$2:$A$6,'Campaign Metadata'!$C$2:$C$6)</f>
        <v>45667</v>
      </c>
      <c r="P70" t="str">
        <f t="shared" si="1"/>
        <v>Before</v>
      </c>
    </row>
    <row r="71" spans="1:16" x14ac:dyDescent="0.3">
      <c r="A71" t="s">
        <v>107</v>
      </c>
      <c r="B71" s="21" t="s">
        <v>29</v>
      </c>
      <c r="C71" s="5">
        <v>45488</v>
      </c>
      <c r="D71" s="21" t="s">
        <v>26</v>
      </c>
      <c r="E71" s="21" t="s">
        <v>3</v>
      </c>
      <c r="F71" s="22">
        <v>17034</v>
      </c>
      <c r="G71" s="22">
        <v>231</v>
      </c>
      <c r="H71" s="22">
        <v>290</v>
      </c>
      <c r="I71" s="22">
        <v>1387</v>
      </c>
      <c r="J71" s="22">
        <v>63550</v>
      </c>
      <c r="K71" s="22">
        <v>198280</v>
      </c>
      <c r="L71" s="21" t="s">
        <v>65</v>
      </c>
      <c r="M71" s="4">
        <v>8.8536413153116805E-2</v>
      </c>
      <c r="N71" s="5">
        <f>_xlfn.XLOOKUP(L71,'Campaign Metadata'!$A$2:$A$6,'Campaign Metadata'!$B$2:$B$6)</f>
        <v>45566</v>
      </c>
      <c r="O71" s="5">
        <f>_xlfn.XLOOKUP(L71,'Campaign Metadata'!$A$2:$A$6,'Campaign Metadata'!$C$2:$C$6)</f>
        <v>45596</v>
      </c>
      <c r="P71" t="str">
        <f t="shared" si="1"/>
        <v>Before</v>
      </c>
    </row>
    <row r="72" spans="1:16" x14ac:dyDescent="0.3">
      <c r="A72" t="s">
        <v>107</v>
      </c>
      <c r="B72" s="21" t="s">
        <v>29</v>
      </c>
      <c r="C72" s="5">
        <v>45488</v>
      </c>
      <c r="D72" s="21" t="s">
        <v>26</v>
      </c>
      <c r="E72" s="21" t="s">
        <v>13</v>
      </c>
      <c r="F72" s="22">
        <v>17034</v>
      </c>
      <c r="G72" s="22">
        <v>231</v>
      </c>
      <c r="H72" s="22">
        <v>290</v>
      </c>
      <c r="I72" s="22">
        <v>1387</v>
      </c>
      <c r="J72" s="22">
        <v>63550</v>
      </c>
      <c r="K72" s="22">
        <v>198280</v>
      </c>
      <c r="L72" s="21" t="s">
        <v>65</v>
      </c>
      <c r="M72" s="4">
        <v>8.8536413153116805E-2</v>
      </c>
      <c r="N72" s="5">
        <f>_xlfn.XLOOKUP(L72,'Campaign Metadata'!$A$2:$A$6,'Campaign Metadata'!$B$2:$B$6)</f>
        <v>45566</v>
      </c>
      <c r="O72" s="5">
        <f>_xlfn.XLOOKUP(L72,'Campaign Metadata'!$A$2:$A$6,'Campaign Metadata'!$C$2:$C$6)</f>
        <v>45596</v>
      </c>
      <c r="P72" t="str">
        <f t="shared" si="1"/>
        <v>Before</v>
      </c>
    </row>
    <row r="73" spans="1:16" x14ac:dyDescent="0.3">
      <c r="A73" t="s">
        <v>257</v>
      </c>
      <c r="B73" s="21" t="s">
        <v>29</v>
      </c>
      <c r="C73" s="5">
        <v>45488</v>
      </c>
      <c r="D73" s="21" t="s">
        <v>28</v>
      </c>
      <c r="E73" s="21" t="s">
        <v>18</v>
      </c>
      <c r="F73" s="22">
        <v>12554</v>
      </c>
      <c r="G73" s="22">
        <v>381</v>
      </c>
      <c r="H73" s="22">
        <v>211</v>
      </c>
      <c r="I73" s="22">
        <v>2286</v>
      </c>
      <c r="J73" s="22">
        <v>50567</v>
      </c>
      <c r="K73" s="22">
        <v>72779</v>
      </c>
      <c r="L73" s="21" t="s">
        <v>59</v>
      </c>
      <c r="M73" s="4">
        <v>0.18062902760411656</v>
      </c>
      <c r="N73" s="5">
        <f>_xlfn.XLOOKUP(L73,'Campaign Metadata'!$A$2:$A$6,'Campaign Metadata'!$B$2:$B$6)</f>
        <v>45651</v>
      </c>
      <c r="O73" s="5">
        <f>_xlfn.XLOOKUP(L73,'Campaign Metadata'!$A$2:$A$6,'Campaign Metadata'!$C$2:$C$6)</f>
        <v>45667</v>
      </c>
      <c r="P73" t="str">
        <f t="shared" si="1"/>
        <v>Before</v>
      </c>
    </row>
    <row r="74" spans="1:16" x14ac:dyDescent="0.3">
      <c r="A74" t="s">
        <v>104</v>
      </c>
      <c r="B74" s="21" t="s">
        <v>31</v>
      </c>
      <c r="C74" s="5">
        <v>45489</v>
      </c>
      <c r="D74" s="21" t="s">
        <v>27</v>
      </c>
      <c r="E74" s="21" t="s">
        <v>3</v>
      </c>
      <c r="F74" s="22">
        <v>8767</v>
      </c>
      <c r="G74" s="22">
        <v>974</v>
      </c>
      <c r="H74" s="22">
        <v>733</v>
      </c>
      <c r="I74" s="22">
        <v>1587</v>
      </c>
      <c r="J74" s="22">
        <v>74927</v>
      </c>
      <c r="K74" s="22">
        <v>113770</v>
      </c>
      <c r="L74" s="21" t="s">
        <v>59</v>
      </c>
      <c r="M74" s="4">
        <v>9.2062933989628198E-2</v>
      </c>
      <c r="N74" s="5">
        <f>_xlfn.XLOOKUP(L74,'Campaign Metadata'!$A$2:$A$6,'Campaign Metadata'!$B$2:$B$6)</f>
        <v>45651</v>
      </c>
      <c r="O74" s="5">
        <f>_xlfn.XLOOKUP(L74,'Campaign Metadata'!$A$2:$A$6,'Campaign Metadata'!$C$2:$C$6)</f>
        <v>45667</v>
      </c>
      <c r="P74" t="str">
        <f t="shared" si="1"/>
        <v>Before</v>
      </c>
    </row>
    <row r="75" spans="1:16" x14ac:dyDescent="0.3">
      <c r="A75" t="s">
        <v>104</v>
      </c>
      <c r="B75" s="21" t="s">
        <v>31</v>
      </c>
      <c r="C75" s="5">
        <v>45489</v>
      </c>
      <c r="D75" s="21" t="s">
        <v>27</v>
      </c>
      <c r="E75" s="21" t="s">
        <v>14</v>
      </c>
      <c r="F75" s="22">
        <v>8767</v>
      </c>
      <c r="G75" s="22">
        <v>974</v>
      </c>
      <c r="H75" s="22">
        <v>733</v>
      </c>
      <c r="I75" s="22">
        <v>1587</v>
      </c>
      <c r="J75" s="22">
        <v>74927</v>
      </c>
      <c r="K75" s="22">
        <v>113770</v>
      </c>
      <c r="L75" s="21" t="s">
        <v>59</v>
      </c>
      <c r="M75" s="4">
        <v>9.2062933989628198E-2</v>
      </c>
      <c r="N75" s="5">
        <f>_xlfn.XLOOKUP(L75,'Campaign Metadata'!$A$2:$A$6,'Campaign Metadata'!$B$2:$B$6)</f>
        <v>45651</v>
      </c>
      <c r="O75" s="5">
        <f>_xlfn.XLOOKUP(L75,'Campaign Metadata'!$A$2:$A$6,'Campaign Metadata'!$C$2:$C$6)</f>
        <v>45667</v>
      </c>
      <c r="P75" t="str">
        <f t="shared" si="1"/>
        <v>Before</v>
      </c>
    </row>
    <row r="76" spans="1:16" x14ac:dyDescent="0.3">
      <c r="A76" t="s">
        <v>155</v>
      </c>
      <c r="B76" s="21" t="s">
        <v>29</v>
      </c>
      <c r="C76" s="5">
        <v>45491</v>
      </c>
      <c r="D76" s="21" t="s">
        <v>28</v>
      </c>
      <c r="E76" s="21" t="s">
        <v>17</v>
      </c>
      <c r="F76" s="22">
        <v>11111</v>
      </c>
      <c r="G76" s="22">
        <v>1222</v>
      </c>
      <c r="H76" s="22">
        <v>367</v>
      </c>
      <c r="I76" s="22">
        <v>507</v>
      </c>
      <c r="J76" s="22">
        <v>14129</v>
      </c>
      <c r="K76" s="22">
        <v>127163</v>
      </c>
      <c r="L76" s="21" t="s">
        <v>65</v>
      </c>
      <c r="M76" s="4">
        <v>9.9871818060284834E-2</v>
      </c>
      <c r="N76" s="5">
        <f>_xlfn.XLOOKUP(L76,'Campaign Metadata'!$A$2:$A$6,'Campaign Metadata'!$B$2:$B$6)</f>
        <v>45566</v>
      </c>
      <c r="O76" s="5">
        <f>_xlfn.XLOOKUP(L76,'Campaign Metadata'!$A$2:$A$6,'Campaign Metadata'!$C$2:$C$6)</f>
        <v>45596</v>
      </c>
      <c r="P76" t="str">
        <f t="shared" si="1"/>
        <v>Before</v>
      </c>
    </row>
    <row r="77" spans="1:16" x14ac:dyDescent="0.3">
      <c r="A77" t="s">
        <v>175</v>
      </c>
      <c r="B77" s="21" t="s">
        <v>31</v>
      </c>
      <c r="C77" s="5">
        <v>45491</v>
      </c>
      <c r="D77" s="21" t="s">
        <v>28</v>
      </c>
      <c r="E77" s="21" t="s">
        <v>8</v>
      </c>
      <c r="F77" s="22">
        <v>16594</v>
      </c>
      <c r="G77" s="22">
        <v>809</v>
      </c>
      <c r="H77" s="22">
        <v>784</v>
      </c>
      <c r="I77" s="22">
        <v>1655</v>
      </c>
      <c r="J77" s="22">
        <v>35505</v>
      </c>
      <c r="K77" s="22">
        <v>112588</v>
      </c>
      <c r="L77" s="21" t="s">
        <v>60</v>
      </c>
      <c r="M77" s="4">
        <v>0.16153586527871533</v>
      </c>
      <c r="N77" s="5">
        <f>_xlfn.XLOOKUP(L77,'Campaign Metadata'!$A$2:$A$6,'Campaign Metadata'!$B$2:$B$6)</f>
        <v>45717</v>
      </c>
      <c r="O77" s="5">
        <f>_xlfn.XLOOKUP(L77,'Campaign Metadata'!$A$2:$A$6,'Campaign Metadata'!$C$2:$C$6)</f>
        <v>45747</v>
      </c>
      <c r="P77" t="str">
        <f t="shared" si="1"/>
        <v>Before</v>
      </c>
    </row>
    <row r="78" spans="1:16" x14ac:dyDescent="0.3">
      <c r="A78" t="s">
        <v>175</v>
      </c>
      <c r="B78" s="21" t="s">
        <v>31</v>
      </c>
      <c r="C78" s="5">
        <v>45491</v>
      </c>
      <c r="D78" s="21" t="s">
        <v>28</v>
      </c>
      <c r="E78" s="21" t="s">
        <v>10</v>
      </c>
      <c r="F78" s="22">
        <v>16594</v>
      </c>
      <c r="G78" s="22">
        <v>809</v>
      </c>
      <c r="H78" s="22">
        <v>784</v>
      </c>
      <c r="I78" s="22">
        <v>1655</v>
      </c>
      <c r="J78" s="22">
        <v>35505</v>
      </c>
      <c r="K78" s="22">
        <v>112588</v>
      </c>
      <c r="L78" s="21" t="s">
        <v>60</v>
      </c>
      <c r="M78" s="4">
        <v>0.16153586527871533</v>
      </c>
      <c r="N78" s="5">
        <f>_xlfn.XLOOKUP(L78,'Campaign Metadata'!$A$2:$A$6,'Campaign Metadata'!$B$2:$B$6)</f>
        <v>45717</v>
      </c>
      <c r="O78" s="5">
        <f>_xlfn.XLOOKUP(L78,'Campaign Metadata'!$A$2:$A$6,'Campaign Metadata'!$C$2:$C$6)</f>
        <v>45747</v>
      </c>
      <c r="P78" t="str">
        <f t="shared" si="1"/>
        <v>Before</v>
      </c>
    </row>
    <row r="79" spans="1:16" x14ac:dyDescent="0.3">
      <c r="A79" t="s">
        <v>243</v>
      </c>
      <c r="B79" s="21" t="s">
        <v>32</v>
      </c>
      <c r="C79" s="5">
        <v>45494</v>
      </c>
      <c r="D79" s="21" t="s">
        <v>27</v>
      </c>
      <c r="E79" s="21" t="s">
        <v>16</v>
      </c>
      <c r="F79" s="22">
        <v>2009</v>
      </c>
      <c r="G79" s="22">
        <v>1072</v>
      </c>
      <c r="H79" s="22">
        <v>550</v>
      </c>
      <c r="I79" s="22">
        <v>1437</v>
      </c>
      <c r="J79" s="22">
        <v>22982</v>
      </c>
      <c r="K79" s="22">
        <v>69426</v>
      </c>
      <c r="L79" s="21" t="s">
        <v>63</v>
      </c>
      <c r="M79" s="4">
        <v>5.2300290957278256E-2</v>
      </c>
      <c r="N79" s="5">
        <f>_xlfn.XLOOKUP(L79,'Campaign Metadata'!$A$2:$A$6,'Campaign Metadata'!$B$2:$B$6)</f>
        <v>45458</v>
      </c>
      <c r="O79" s="5">
        <f>_xlfn.XLOOKUP(L79,'Campaign Metadata'!$A$2:$A$6,'Campaign Metadata'!$C$2:$C$6)</f>
        <v>45488</v>
      </c>
      <c r="P79" t="str">
        <f t="shared" si="1"/>
        <v>After</v>
      </c>
    </row>
    <row r="80" spans="1:16" x14ac:dyDescent="0.3">
      <c r="A80" t="s">
        <v>243</v>
      </c>
      <c r="B80" s="21" t="s">
        <v>32</v>
      </c>
      <c r="C80" s="5">
        <v>45494</v>
      </c>
      <c r="D80" s="21" t="s">
        <v>27</v>
      </c>
      <c r="E80" s="21" t="s">
        <v>4</v>
      </c>
      <c r="F80" s="22">
        <v>2009</v>
      </c>
      <c r="G80" s="22">
        <v>1072</v>
      </c>
      <c r="H80" s="22">
        <v>550</v>
      </c>
      <c r="I80" s="22">
        <v>1437</v>
      </c>
      <c r="J80" s="22">
        <v>22982</v>
      </c>
      <c r="K80" s="22">
        <v>69426</v>
      </c>
      <c r="L80" s="21" t="s">
        <v>63</v>
      </c>
      <c r="M80" s="4">
        <v>5.2300290957278256E-2</v>
      </c>
      <c r="N80" s="5">
        <f>_xlfn.XLOOKUP(L80,'Campaign Metadata'!$A$2:$A$6,'Campaign Metadata'!$B$2:$B$6)</f>
        <v>45458</v>
      </c>
      <c r="O80" s="5">
        <f>_xlfn.XLOOKUP(L80,'Campaign Metadata'!$A$2:$A$6,'Campaign Metadata'!$C$2:$C$6)</f>
        <v>45488</v>
      </c>
      <c r="P80" t="str">
        <f t="shared" si="1"/>
        <v>After</v>
      </c>
    </row>
    <row r="81" spans="1:16" x14ac:dyDescent="0.3">
      <c r="A81" t="s">
        <v>72</v>
      </c>
      <c r="B81" s="21" t="s">
        <v>30</v>
      </c>
      <c r="C81" s="5">
        <v>45494</v>
      </c>
      <c r="D81" s="21" t="s">
        <v>26</v>
      </c>
      <c r="E81" s="21" t="s">
        <v>3</v>
      </c>
      <c r="F81" s="22">
        <v>11911</v>
      </c>
      <c r="G81" s="22">
        <v>1360</v>
      </c>
      <c r="H81" s="22">
        <v>778</v>
      </c>
      <c r="I81" s="22">
        <v>1168</v>
      </c>
      <c r="J81" s="22">
        <v>16483</v>
      </c>
      <c r="K81" s="22">
        <v>72556</v>
      </c>
      <c r="L81" s="21" t="s">
        <v>60</v>
      </c>
      <c r="M81" s="4">
        <v>0.19362974805667346</v>
      </c>
      <c r="N81" s="5">
        <f>_xlfn.XLOOKUP(L81,'Campaign Metadata'!$A$2:$A$6,'Campaign Metadata'!$B$2:$B$6)</f>
        <v>45717</v>
      </c>
      <c r="O81" s="5">
        <f>_xlfn.XLOOKUP(L81,'Campaign Metadata'!$A$2:$A$6,'Campaign Metadata'!$C$2:$C$6)</f>
        <v>45747</v>
      </c>
      <c r="P81" t="str">
        <f t="shared" si="1"/>
        <v>Before</v>
      </c>
    </row>
    <row r="82" spans="1:16" x14ac:dyDescent="0.3">
      <c r="A82" t="s">
        <v>72</v>
      </c>
      <c r="B82" s="21" t="s">
        <v>30</v>
      </c>
      <c r="C82" s="5">
        <v>45494</v>
      </c>
      <c r="D82" s="21" t="s">
        <v>26</v>
      </c>
      <c r="E82" s="21" t="s">
        <v>12</v>
      </c>
      <c r="F82" s="22">
        <v>11911</v>
      </c>
      <c r="G82" s="22">
        <v>1360</v>
      </c>
      <c r="H82" s="22">
        <v>778</v>
      </c>
      <c r="I82" s="22">
        <v>1168</v>
      </c>
      <c r="J82" s="22">
        <v>16483</v>
      </c>
      <c r="K82" s="22">
        <v>72556</v>
      </c>
      <c r="L82" s="21" t="s">
        <v>60</v>
      </c>
      <c r="M82" s="4">
        <v>0.19362974805667346</v>
      </c>
      <c r="N82" s="5">
        <f>_xlfn.XLOOKUP(L82,'Campaign Metadata'!$A$2:$A$6,'Campaign Metadata'!$B$2:$B$6)</f>
        <v>45717</v>
      </c>
      <c r="O82" s="5">
        <f>_xlfn.XLOOKUP(L82,'Campaign Metadata'!$A$2:$A$6,'Campaign Metadata'!$C$2:$C$6)</f>
        <v>45747</v>
      </c>
      <c r="P82" t="str">
        <f t="shared" si="1"/>
        <v>Before</v>
      </c>
    </row>
    <row r="83" spans="1:16" x14ac:dyDescent="0.3">
      <c r="A83" t="s">
        <v>180</v>
      </c>
      <c r="B83" s="21" t="s">
        <v>32</v>
      </c>
      <c r="C83" s="5">
        <v>45496</v>
      </c>
      <c r="D83" s="21" t="s">
        <v>28</v>
      </c>
      <c r="E83" s="21" t="s">
        <v>15</v>
      </c>
      <c r="F83" s="22">
        <v>24877</v>
      </c>
      <c r="G83" s="22">
        <v>262</v>
      </c>
      <c r="H83" s="22">
        <v>513</v>
      </c>
      <c r="I83" s="22">
        <v>648</v>
      </c>
      <c r="J83" s="22">
        <v>47544</v>
      </c>
      <c r="K83" s="22">
        <v>208280</v>
      </c>
      <c r="L83" s="21" t="s">
        <v>60</v>
      </c>
      <c r="M83" s="4">
        <v>0.12316112924908777</v>
      </c>
      <c r="N83" s="5">
        <f>_xlfn.XLOOKUP(L83,'Campaign Metadata'!$A$2:$A$6,'Campaign Metadata'!$B$2:$B$6)</f>
        <v>45717</v>
      </c>
      <c r="O83" s="5">
        <f>_xlfn.XLOOKUP(L83,'Campaign Metadata'!$A$2:$A$6,'Campaign Metadata'!$C$2:$C$6)</f>
        <v>45747</v>
      </c>
      <c r="P83" t="str">
        <f t="shared" si="1"/>
        <v>Before</v>
      </c>
    </row>
    <row r="84" spans="1:16" x14ac:dyDescent="0.3">
      <c r="A84" t="s">
        <v>180</v>
      </c>
      <c r="B84" s="21" t="s">
        <v>32</v>
      </c>
      <c r="C84" s="5">
        <v>45496</v>
      </c>
      <c r="D84" s="21" t="s">
        <v>28</v>
      </c>
      <c r="E84" s="21" t="s">
        <v>18</v>
      </c>
      <c r="F84" s="22">
        <v>24877</v>
      </c>
      <c r="G84" s="22">
        <v>262</v>
      </c>
      <c r="H84" s="22">
        <v>513</v>
      </c>
      <c r="I84" s="22">
        <v>648</v>
      </c>
      <c r="J84" s="22">
        <v>47544</v>
      </c>
      <c r="K84" s="22">
        <v>208280</v>
      </c>
      <c r="L84" s="21" t="s">
        <v>60</v>
      </c>
      <c r="M84" s="4">
        <v>0.12316112924908777</v>
      </c>
      <c r="N84" s="5">
        <f>_xlfn.XLOOKUP(L84,'Campaign Metadata'!$A$2:$A$6,'Campaign Metadata'!$B$2:$B$6)</f>
        <v>45717</v>
      </c>
      <c r="O84" s="5">
        <f>_xlfn.XLOOKUP(L84,'Campaign Metadata'!$A$2:$A$6,'Campaign Metadata'!$C$2:$C$6)</f>
        <v>45747</v>
      </c>
      <c r="P84" t="str">
        <f t="shared" si="1"/>
        <v>Before</v>
      </c>
    </row>
    <row r="85" spans="1:16" x14ac:dyDescent="0.3">
      <c r="A85" t="s">
        <v>42</v>
      </c>
      <c r="B85" s="21" t="s">
        <v>30</v>
      </c>
      <c r="C85" s="5">
        <v>45497</v>
      </c>
      <c r="D85" s="21" t="s">
        <v>28</v>
      </c>
      <c r="E85" s="21" t="s">
        <v>5</v>
      </c>
      <c r="F85" s="22">
        <v>22914</v>
      </c>
      <c r="G85" s="22">
        <v>954</v>
      </c>
      <c r="H85" s="22">
        <v>584</v>
      </c>
      <c r="I85" s="22">
        <v>1519</v>
      </c>
      <c r="J85" s="22">
        <v>13637</v>
      </c>
      <c r="K85" s="22">
        <v>49847</v>
      </c>
      <c r="L85" s="21" t="s">
        <v>59</v>
      </c>
      <c r="M85" s="4">
        <v>0.49054105563022848</v>
      </c>
      <c r="N85" s="5">
        <f>_xlfn.XLOOKUP(L85,'Campaign Metadata'!$A$2:$A$6,'Campaign Metadata'!$B$2:$B$6)</f>
        <v>45651</v>
      </c>
      <c r="O85" s="5">
        <f>_xlfn.XLOOKUP(L85,'Campaign Metadata'!$A$2:$A$6,'Campaign Metadata'!$C$2:$C$6)</f>
        <v>45667</v>
      </c>
      <c r="P85" t="str">
        <f t="shared" si="1"/>
        <v>Before</v>
      </c>
    </row>
    <row r="86" spans="1:16" x14ac:dyDescent="0.3">
      <c r="A86" t="s">
        <v>42</v>
      </c>
      <c r="B86" s="21" t="s">
        <v>30</v>
      </c>
      <c r="C86" s="5">
        <v>45497</v>
      </c>
      <c r="D86" s="21" t="s">
        <v>28</v>
      </c>
      <c r="E86" s="21" t="s">
        <v>6</v>
      </c>
      <c r="F86" s="22">
        <v>22914</v>
      </c>
      <c r="G86" s="22">
        <v>954</v>
      </c>
      <c r="H86" s="22">
        <v>584</v>
      </c>
      <c r="I86" s="22">
        <v>1519</v>
      </c>
      <c r="J86" s="22">
        <v>13637</v>
      </c>
      <c r="K86" s="22">
        <v>49847</v>
      </c>
      <c r="L86" s="21" t="s">
        <v>59</v>
      </c>
      <c r="M86" s="4">
        <v>0.49054105563022848</v>
      </c>
      <c r="N86" s="5">
        <f>_xlfn.XLOOKUP(L86,'Campaign Metadata'!$A$2:$A$6,'Campaign Metadata'!$B$2:$B$6)</f>
        <v>45651</v>
      </c>
      <c r="O86" s="5">
        <f>_xlfn.XLOOKUP(L86,'Campaign Metadata'!$A$2:$A$6,'Campaign Metadata'!$C$2:$C$6)</f>
        <v>45667</v>
      </c>
      <c r="P86" t="str">
        <f t="shared" si="1"/>
        <v>Before</v>
      </c>
    </row>
    <row r="87" spans="1:16" x14ac:dyDescent="0.3">
      <c r="A87" t="s">
        <v>225</v>
      </c>
      <c r="B87" s="21" t="s">
        <v>31</v>
      </c>
      <c r="C87" s="5">
        <v>45499</v>
      </c>
      <c r="D87" s="21" t="s">
        <v>27</v>
      </c>
      <c r="E87" s="21" t="s">
        <v>7</v>
      </c>
      <c r="F87" s="22">
        <v>12176</v>
      </c>
      <c r="G87" s="22">
        <v>1005</v>
      </c>
      <c r="H87" s="22">
        <v>862</v>
      </c>
      <c r="I87" s="22">
        <v>974</v>
      </c>
      <c r="J87" s="22">
        <v>2285</v>
      </c>
      <c r="K87" s="22">
        <v>116619</v>
      </c>
      <c r="L87" s="21" t="s">
        <v>63</v>
      </c>
      <c r="M87" s="4">
        <v>0.12041777068916729</v>
      </c>
      <c r="N87" s="5">
        <f>_xlfn.XLOOKUP(L87,'Campaign Metadata'!$A$2:$A$6,'Campaign Metadata'!$B$2:$B$6)</f>
        <v>45458</v>
      </c>
      <c r="O87" s="5">
        <f>_xlfn.XLOOKUP(L87,'Campaign Metadata'!$A$2:$A$6,'Campaign Metadata'!$C$2:$C$6)</f>
        <v>45488</v>
      </c>
      <c r="P87" t="str">
        <f t="shared" si="1"/>
        <v>After</v>
      </c>
    </row>
    <row r="88" spans="1:16" x14ac:dyDescent="0.3">
      <c r="A88" t="s">
        <v>225</v>
      </c>
      <c r="B88" s="21" t="s">
        <v>31</v>
      </c>
      <c r="C88" s="5">
        <v>45499</v>
      </c>
      <c r="D88" s="21" t="s">
        <v>27</v>
      </c>
      <c r="E88" s="21" t="s">
        <v>9</v>
      </c>
      <c r="F88" s="22">
        <v>12176</v>
      </c>
      <c r="G88" s="22">
        <v>1005</v>
      </c>
      <c r="H88" s="22">
        <v>862</v>
      </c>
      <c r="I88" s="22">
        <v>974</v>
      </c>
      <c r="J88" s="22">
        <v>2285</v>
      </c>
      <c r="K88" s="22">
        <v>116619</v>
      </c>
      <c r="L88" s="21" t="s">
        <v>63</v>
      </c>
      <c r="M88" s="4">
        <v>0.12041777068916729</v>
      </c>
      <c r="N88" s="5">
        <f>_xlfn.XLOOKUP(L88,'Campaign Metadata'!$A$2:$A$6,'Campaign Metadata'!$B$2:$B$6)</f>
        <v>45458</v>
      </c>
      <c r="O88" s="5">
        <f>_xlfn.XLOOKUP(L88,'Campaign Metadata'!$A$2:$A$6,'Campaign Metadata'!$C$2:$C$6)</f>
        <v>45488</v>
      </c>
      <c r="P88" t="str">
        <f t="shared" si="1"/>
        <v>After</v>
      </c>
    </row>
    <row r="89" spans="1:16" x14ac:dyDescent="0.3">
      <c r="A89" t="s">
        <v>210</v>
      </c>
      <c r="B89" s="21" t="s">
        <v>32</v>
      </c>
      <c r="C89" s="5">
        <v>45499</v>
      </c>
      <c r="D89" s="21" t="s">
        <v>28</v>
      </c>
      <c r="E89" s="21" t="s">
        <v>17</v>
      </c>
      <c r="F89" s="22">
        <v>18282</v>
      </c>
      <c r="G89" s="22">
        <v>224</v>
      </c>
      <c r="H89" s="22">
        <v>962</v>
      </c>
      <c r="I89" s="22">
        <v>890</v>
      </c>
      <c r="J89" s="22">
        <v>35105</v>
      </c>
      <c r="K89" s="22">
        <v>64089</v>
      </c>
      <c r="L89" s="21" t="s">
        <v>63</v>
      </c>
      <c r="M89" s="4">
        <v>0.30376507669022768</v>
      </c>
      <c r="N89" s="5">
        <f>_xlfn.XLOOKUP(L89,'Campaign Metadata'!$A$2:$A$6,'Campaign Metadata'!$B$2:$B$6)</f>
        <v>45458</v>
      </c>
      <c r="O89" s="5">
        <f>_xlfn.XLOOKUP(L89,'Campaign Metadata'!$A$2:$A$6,'Campaign Metadata'!$C$2:$C$6)</f>
        <v>45488</v>
      </c>
      <c r="P89" t="str">
        <f t="shared" si="1"/>
        <v>After</v>
      </c>
    </row>
    <row r="90" spans="1:16" x14ac:dyDescent="0.3">
      <c r="A90" t="s">
        <v>168</v>
      </c>
      <c r="B90" s="21" t="s">
        <v>32</v>
      </c>
      <c r="C90" s="5">
        <v>45502</v>
      </c>
      <c r="D90" s="21" t="s">
        <v>28</v>
      </c>
      <c r="E90" s="21" t="s">
        <v>7</v>
      </c>
      <c r="F90" s="22">
        <v>6164</v>
      </c>
      <c r="G90" s="22">
        <v>326</v>
      </c>
      <c r="H90" s="22">
        <v>615</v>
      </c>
      <c r="I90" s="22">
        <v>2806</v>
      </c>
      <c r="J90" s="22">
        <v>38579</v>
      </c>
      <c r="K90" s="22">
        <v>206129</v>
      </c>
      <c r="L90" s="21" t="s">
        <v>65</v>
      </c>
      <c r="M90" s="4">
        <v>3.4468706489625425E-2</v>
      </c>
      <c r="N90" s="5">
        <f>_xlfn.XLOOKUP(L90,'Campaign Metadata'!$A$2:$A$6,'Campaign Metadata'!$B$2:$B$6)</f>
        <v>45566</v>
      </c>
      <c r="O90" s="5">
        <f>_xlfn.XLOOKUP(L90,'Campaign Metadata'!$A$2:$A$6,'Campaign Metadata'!$C$2:$C$6)</f>
        <v>45596</v>
      </c>
      <c r="P90" t="str">
        <f t="shared" si="1"/>
        <v>Before</v>
      </c>
    </row>
    <row r="91" spans="1:16" x14ac:dyDescent="0.3">
      <c r="A91" t="s">
        <v>168</v>
      </c>
      <c r="B91" s="21" t="s">
        <v>32</v>
      </c>
      <c r="C91" s="5">
        <v>45502</v>
      </c>
      <c r="D91" s="21" t="s">
        <v>28</v>
      </c>
      <c r="E91" s="21" t="s">
        <v>9</v>
      </c>
      <c r="F91" s="22">
        <v>6164</v>
      </c>
      <c r="G91" s="22">
        <v>326</v>
      </c>
      <c r="H91" s="22">
        <v>615</v>
      </c>
      <c r="I91" s="22">
        <v>2806</v>
      </c>
      <c r="J91" s="22">
        <v>38579</v>
      </c>
      <c r="K91" s="22">
        <v>206129</v>
      </c>
      <c r="L91" s="21" t="s">
        <v>65</v>
      </c>
      <c r="M91" s="4">
        <v>3.4468706489625425E-2</v>
      </c>
      <c r="N91" s="5">
        <f>_xlfn.XLOOKUP(L91,'Campaign Metadata'!$A$2:$A$6,'Campaign Metadata'!$B$2:$B$6)</f>
        <v>45566</v>
      </c>
      <c r="O91" s="5">
        <f>_xlfn.XLOOKUP(L91,'Campaign Metadata'!$A$2:$A$6,'Campaign Metadata'!$C$2:$C$6)</f>
        <v>45596</v>
      </c>
      <c r="P91" t="str">
        <f t="shared" si="1"/>
        <v>Before</v>
      </c>
    </row>
    <row r="92" spans="1:16" x14ac:dyDescent="0.3">
      <c r="A92" t="s">
        <v>33</v>
      </c>
      <c r="B92" s="21" t="s">
        <v>30</v>
      </c>
      <c r="C92" s="5">
        <v>45502</v>
      </c>
      <c r="D92" s="21" t="s">
        <v>28</v>
      </c>
      <c r="E92" s="21" t="s">
        <v>10</v>
      </c>
      <c r="F92" s="22">
        <v>19144</v>
      </c>
      <c r="G92" s="22">
        <v>1182</v>
      </c>
      <c r="H92" s="22">
        <v>860</v>
      </c>
      <c r="I92" s="22">
        <v>1398</v>
      </c>
      <c r="J92" s="22">
        <v>4185</v>
      </c>
      <c r="K92" s="22">
        <v>46570</v>
      </c>
      <c r="L92" s="21" t="s">
        <v>59</v>
      </c>
      <c r="M92" s="4">
        <v>0.454928065278076</v>
      </c>
      <c r="N92" s="5">
        <f>_xlfn.XLOOKUP(L92,'Campaign Metadata'!$A$2:$A$6,'Campaign Metadata'!$B$2:$B$6)</f>
        <v>45651</v>
      </c>
      <c r="O92" s="5">
        <f>_xlfn.XLOOKUP(L92,'Campaign Metadata'!$A$2:$A$6,'Campaign Metadata'!$C$2:$C$6)</f>
        <v>45667</v>
      </c>
      <c r="P92" t="str">
        <f t="shared" si="1"/>
        <v>Before</v>
      </c>
    </row>
    <row r="93" spans="1:16" x14ac:dyDescent="0.3">
      <c r="A93" t="s">
        <v>33</v>
      </c>
      <c r="B93" s="21" t="s">
        <v>30</v>
      </c>
      <c r="C93" s="5">
        <v>45502</v>
      </c>
      <c r="D93" s="21" t="s">
        <v>28</v>
      </c>
      <c r="E93" s="21" t="s">
        <v>8</v>
      </c>
      <c r="F93" s="22">
        <v>19144</v>
      </c>
      <c r="G93" s="22">
        <v>1182</v>
      </c>
      <c r="H93" s="22">
        <v>860</v>
      </c>
      <c r="I93" s="22">
        <v>1398</v>
      </c>
      <c r="J93" s="22">
        <v>4185</v>
      </c>
      <c r="K93" s="22">
        <v>46570</v>
      </c>
      <c r="L93" s="21" t="s">
        <v>59</v>
      </c>
      <c r="M93" s="4">
        <v>0.454928065278076</v>
      </c>
      <c r="N93" s="5">
        <f>_xlfn.XLOOKUP(L93,'Campaign Metadata'!$A$2:$A$6,'Campaign Metadata'!$B$2:$B$6)</f>
        <v>45651</v>
      </c>
      <c r="O93" s="5">
        <f>_xlfn.XLOOKUP(L93,'Campaign Metadata'!$A$2:$A$6,'Campaign Metadata'!$C$2:$C$6)</f>
        <v>45667</v>
      </c>
      <c r="P93" t="str">
        <f t="shared" si="1"/>
        <v>Before</v>
      </c>
    </row>
    <row r="94" spans="1:16" x14ac:dyDescent="0.3">
      <c r="A94" t="s">
        <v>171</v>
      </c>
      <c r="B94" s="21" t="s">
        <v>29</v>
      </c>
      <c r="C94" s="5">
        <v>45502</v>
      </c>
      <c r="D94" s="21" t="s">
        <v>27</v>
      </c>
      <c r="E94" s="21" t="s">
        <v>10</v>
      </c>
      <c r="F94" s="22">
        <v>22590</v>
      </c>
      <c r="G94" s="22">
        <v>1462</v>
      </c>
      <c r="H94" s="22">
        <v>966</v>
      </c>
      <c r="I94" s="22">
        <v>2463</v>
      </c>
      <c r="J94" s="22">
        <v>29689</v>
      </c>
      <c r="K94" s="22">
        <v>103449</v>
      </c>
      <c r="L94" s="21" t="s">
        <v>60</v>
      </c>
      <c r="M94" s="4">
        <v>0.24183897379385011</v>
      </c>
      <c r="N94" s="5">
        <f>_xlfn.XLOOKUP(L94,'Campaign Metadata'!$A$2:$A$6,'Campaign Metadata'!$B$2:$B$6)</f>
        <v>45717</v>
      </c>
      <c r="O94" s="5">
        <f>_xlfn.XLOOKUP(L94,'Campaign Metadata'!$A$2:$A$6,'Campaign Metadata'!$C$2:$C$6)</f>
        <v>45747</v>
      </c>
      <c r="P94" t="str">
        <f t="shared" si="1"/>
        <v>Before</v>
      </c>
    </row>
    <row r="95" spans="1:16" x14ac:dyDescent="0.3">
      <c r="A95" t="s">
        <v>171</v>
      </c>
      <c r="B95" s="21" t="s">
        <v>29</v>
      </c>
      <c r="C95" s="5">
        <v>45502</v>
      </c>
      <c r="D95" s="21" t="s">
        <v>27</v>
      </c>
      <c r="E95" s="21" t="s">
        <v>8</v>
      </c>
      <c r="F95" s="22">
        <v>22590</v>
      </c>
      <c r="G95" s="22">
        <v>1462</v>
      </c>
      <c r="H95" s="22">
        <v>966</v>
      </c>
      <c r="I95" s="22">
        <v>2463</v>
      </c>
      <c r="J95" s="22">
        <v>29689</v>
      </c>
      <c r="K95" s="22">
        <v>103449</v>
      </c>
      <c r="L95" s="21" t="s">
        <v>60</v>
      </c>
      <c r="M95" s="4">
        <v>0.24183897379385011</v>
      </c>
      <c r="N95" s="5">
        <f>_xlfn.XLOOKUP(L95,'Campaign Metadata'!$A$2:$A$6,'Campaign Metadata'!$B$2:$B$6)</f>
        <v>45717</v>
      </c>
      <c r="O95" s="5">
        <f>_xlfn.XLOOKUP(L95,'Campaign Metadata'!$A$2:$A$6,'Campaign Metadata'!$C$2:$C$6)</f>
        <v>45747</v>
      </c>
      <c r="P95" t="str">
        <f t="shared" si="1"/>
        <v>Before</v>
      </c>
    </row>
    <row r="96" spans="1:16" x14ac:dyDescent="0.3">
      <c r="A96" t="s">
        <v>124</v>
      </c>
      <c r="B96" s="21" t="s">
        <v>29</v>
      </c>
      <c r="C96" s="5">
        <v>45504</v>
      </c>
      <c r="D96" s="21" t="s">
        <v>26</v>
      </c>
      <c r="E96" s="21" t="s">
        <v>3</v>
      </c>
      <c r="F96" s="22">
        <v>2404</v>
      </c>
      <c r="G96" s="22">
        <v>774</v>
      </c>
      <c r="H96" s="22">
        <v>661</v>
      </c>
      <c r="I96" s="22">
        <v>662</v>
      </c>
      <c r="J96" s="22">
        <v>12676</v>
      </c>
      <c r="K96" s="22">
        <v>66916</v>
      </c>
      <c r="L96" s="21" t="s">
        <v>59</v>
      </c>
      <c r="M96" s="4">
        <v>5.7370434574690654E-2</v>
      </c>
      <c r="N96" s="5">
        <f>_xlfn.XLOOKUP(L96,'Campaign Metadata'!$A$2:$A$6,'Campaign Metadata'!$B$2:$B$6)</f>
        <v>45651</v>
      </c>
      <c r="O96" s="5">
        <f>_xlfn.XLOOKUP(L96,'Campaign Metadata'!$A$2:$A$6,'Campaign Metadata'!$C$2:$C$6)</f>
        <v>45667</v>
      </c>
      <c r="P96" t="str">
        <f t="shared" si="1"/>
        <v>Before</v>
      </c>
    </row>
    <row r="97" spans="1:16" x14ac:dyDescent="0.3">
      <c r="A97" t="s">
        <v>124</v>
      </c>
      <c r="B97" s="21" t="s">
        <v>29</v>
      </c>
      <c r="C97" s="5">
        <v>45504</v>
      </c>
      <c r="D97" s="21" t="s">
        <v>26</v>
      </c>
      <c r="E97" s="21" t="s">
        <v>13</v>
      </c>
      <c r="F97" s="22">
        <v>2404</v>
      </c>
      <c r="G97" s="22">
        <v>774</v>
      </c>
      <c r="H97" s="22">
        <v>661</v>
      </c>
      <c r="I97" s="22">
        <v>662</v>
      </c>
      <c r="J97" s="22">
        <v>12676</v>
      </c>
      <c r="K97" s="22">
        <v>66916</v>
      </c>
      <c r="L97" s="21" t="s">
        <v>59</v>
      </c>
      <c r="M97" s="4">
        <v>5.7370434574690654E-2</v>
      </c>
      <c r="N97" s="5">
        <f>_xlfn.XLOOKUP(L97,'Campaign Metadata'!$A$2:$A$6,'Campaign Metadata'!$B$2:$B$6)</f>
        <v>45651</v>
      </c>
      <c r="O97" s="5">
        <f>_xlfn.XLOOKUP(L97,'Campaign Metadata'!$A$2:$A$6,'Campaign Metadata'!$C$2:$C$6)</f>
        <v>45667</v>
      </c>
      <c r="P97" t="str">
        <f t="shared" si="1"/>
        <v>Before</v>
      </c>
    </row>
    <row r="98" spans="1:16" x14ac:dyDescent="0.3">
      <c r="A98" t="s">
        <v>267</v>
      </c>
      <c r="B98" s="21" t="s">
        <v>29</v>
      </c>
      <c r="C98" s="5">
        <v>45504</v>
      </c>
      <c r="D98" s="21" t="s">
        <v>26</v>
      </c>
      <c r="E98" s="21" t="s">
        <v>8</v>
      </c>
      <c r="F98" s="22">
        <v>12357</v>
      </c>
      <c r="G98" s="22">
        <v>716</v>
      </c>
      <c r="H98" s="22">
        <v>599</v>
      </c>
      <c r="I98" s="22">
        <v>999</v>
      </c>
      <c r="J98" s="22">
        <v>89591</v>
      </c>
      <c r="K98" s="22">
        <v>116367</v>
      </c>
      <c r="L98" s="21" t="s">
        <v>59</v>
      </c>
      <c r="M98" s="4">
        <v>0.11749035379446063</v>
      </c>
      <c r="N98" s="5">
        <f>_xlfn.XLOOKUP(L98,'Campaign Metadata'!$A$2:$A$6,'Campaign Metadata'!$B$2:$B$6)</f>
        <v>45651</v>
      </c>
      <c r="O98" s="5">
        <f>_xlfn.XLOOKUP(L98,'Campaign Metadata'!$A$2:$A$6,'Campaign Metadata'!$C$2:$C$6)</f>
        <v>45667</v>
      </c>
      <c r="P98" t="str">
        <f t="shared" si="1"/>
        <v>Before</v>
      </c>
    </row>
    <row r="99" spans="1:16" x14ac:dyDescent="0.3">
      <c r="A99" t="s">
        <v>267</v>
      </c>
      <c r="B99" s="21" t="s">
        <v>29</v>
      </c>
      <c r="C99" s="5">
        <v>45504</v>
      </c>
      <c r="D99" s="21" t="s">
        <v>26</v>
      </c>
      <c r="E99" s="21" t="s">
        <v>10</v>
      </c>
      <c r="F99" s="22">
        <v>12357</v>
      </c>
      <c r="G99" s="22">
        <v>716</v>
      </c>
      <c r="H99" s="22">
        <v>599</v>
      </c>
      <c r="I99" s="22">
        <v>999</v>
      </c>
      <c r="J99" s="22">
        <v>89591</v>
      </c>
      <c r="K99" s="22">
        <v>116367</v>
      </c>
      <c r="L99" s="21" t="s">
        <v>59</v>
      </c>
      <c r="M99" s="4">
        <v>0.11749035379446063</v>
      </c>
      <c r="N99" s="5">
        <f>_xlfn.XLOOKUP(L99,'Campaign Metadata'!$A$2:$A$6,'Campaign Metadata'!$B$2:$B$6)</f>
        <v>45651</v>
      </c>
      <c r="O99" s="5">
        <f>_xlfn.XLOOKUP(L99,'Campaign Metadata'!$A$2:$A$6,'Campaign Metadata'!$C$2:$C$6)</f>
        <v>45667</v>
      </c>
      <c r="P99" t="str">
        <f t="shared" si="1"/>
        <v>Before</v>
      </c>
    </row>
    <row r="100" spans="1:16" x14ac:dyDescent="0.3">
      <c r="A100" t="s">
        <v>110</v>
      </c>
      <c r="B100" s="21" t="s">
        <v>29</v>
      </c>
      <c r="C100" s="5">
        <v>45504</v>
      </c>
      <c r="D100" s="21" t="s">
        <v>25</v>
      </c>
      <c r="E100" s="21" t="s">
        <v>3</v>
      </c>
      <c r="F100" s="22">
        <v>13314</v>
      </c>
      <c r="G100" s="22">
        <v>274</v>
      </c>
      <c r="H100" s="22">
        <v>626</v>
      </c>
      <c r="I100" s="22">
        <v>2280</v>
      </c>
      <c r="J100" s="22">
        <v>14639</v>
      </c>
      <c r="K100" s="22">
        <v>163008</v>
      </c>
      <c r="L100" s="21" t="s">
        <v>63</v>
      </c>
      <c r="M100" s="4">
        <v>8.7198174322732622E-2</v>
      </c>
      <c r="N100" s="5">
        <f>_xlfn.XLOOKUP(L100,'Campaign Metadata'!$A$2:$A$6,'Campaign Metadata'!$B$2:$B$6)</f>
        <v>45458</v>
      </c>
      <c r="O100" s="5">
        <f>_xlfn.XLOOKUP(L100,'Campaign Metadata'!$A$2:$A$6,'Campaign Metadata'!$C$2:$C$6)</f>
        <v>45488</v>
      </c>
      <c r="P100" t="str">
        <f t="shared" si="1"/>
        <v>After</v>
      </c>
    </row>
    <row r="101" spans="1:16" x14ac:dyDescent="0.3">
      <c r="A101" t="s">
        <v>110</v>
      </c>
      <c r="B101" s="21" t="s">
        <v>29</v>
      </c>
      <c r="C101" s="5">
        <v>45504</v>
      </c>
      <c r="D101" s="21" t="s">
        <v>25</v>
      </c>
      <c r="E101" s="21" t="s">
        <v>12</v>
      </c>
      <c r="F101" s="22">
        <v>13314</v>
      </c>
      <c r="G101" s="22">
        <v>274</v>
      </c>
      <c r="H101" s="22">
        <v>626</v>
      </c>
      <c r="I101" s="22">
        <v>2280</v>
      </c>
      <c r="J101" s="22">
        <v>14639</v>
      </c>
      <c r="K101" s="22">
        <v>163008</v>
      </c>
      <c r="L101" s="21" t="s">
        <v>63</v>
      </c>
      <c r="M101" s="4">
        <v>8.7198174322732622E-2</v>
      </c>
      <c r="N101" s="5">
        <f>_xlfn.XLOOKUP(L101,'Campaign Metadata'!$A$2:$A$6,'Campaign Metadata'!$B$2:$B$6)</f>
        <v>45458</v>
      </c>
      <c r="O101" s="5">
        <f>_xlfn.XLOOKUP(L101,'Campaign Metadata'!$A$2:$A$6,'Campaign Metadata'!$C$2:$C$6)</f>
        <v>45488</v>
      </c>
      <c r="P101" t="str">
        <f t="shared" si="1"/>
        <v>After</v>
      </c>
    </row>
    <row r="102" spans="1:16" x14ac:dyDescent="0.3">
      <c r="A102" t="s">
        <v>167</v>
      </c>
      <c r="B102" s="21" t="s">
        <v>32</v>
      </c>
      <c r="C102" s="5">
        <v>45504</v>
      </c>
      <c r="D102" s="21" t="s">
        <v>28</v>
      </c>
      <c r="E102" s="21" t="s">
        <v>11</v>
      </c>
      <c r="F102" s="22">
        <v>7122</v>
      </c>
      <c r="G102" s="22">
        <v>628</v>
      </c>
      <c r="H102" s="22">
        <v>757</v>
      </c>
      <c r="I102" s="22">
        <v>2313</v>
      </c>
      <c r="J102" s="22">
        <v>50924</v>
      </c>
      <c r="K102" s="22">
        <v>210954</v>
      </c>
      <c r="L102" s="21" t="s">
        <v>65</v>
      </c>
      <c r="M102" s="4">
        <v>4.0326327066564277E-2</v>
      </c>
      <c r="N102" s="5">
        <f>_xlfn.XLOOKUP(L102,'Campaign Metadata'!$A$2:$A$6,'Campaign Metadata'!$B$2:$B$6)</f>
        <v>45566</v>
      </c>
      <c r="O102" s="5">
        <f>_xlfn.XLOOKUP(L102,'Campaign Metadata'!$A$2:$A$6,'Campaign Metadata'!$C$2:$C$6)</f>
        <v>45596</v>
      </c>
      <c r="P102" t="str">
        <f t="shared" si="1"/>
        <v>Before</v>
      </c>
    </row>
    <row r="103" spans="1:16" x14ac:dyDescent="0.3">
      <c r="A103" t="s">
        <v>167</v>
      </c>
      <c r="B103" s="21" t="s">
        <v>32</v>
      </c>
      <c r="C103" s="5">
        <v>45504</v>
      </c>
      <c r="D103" s="21" t="s">
        <v>28</v>
      </c>
      <c r="E103" s="21" t="s">
        <v>1</v>
      </c>
      <c r="F103" s="22">
        <v>7122</v>
      </c>
      <c r="G103" s="22">
        <v>628</v>
      </c>
      <c r="H103" s="22">
        <v>757</v>
      </c>
      <c r="I103" s="22">
        <v>2313</v>
      </c>
      <c r="J103" s="22">
        <v>50924</v>
      </c>
      <c r="K103" s="22">
        <v>210954</v>
      </c>
      <c r="L103" s="21" t="s">
        <v>65</v>
      </c>
      <c r="M103" s="4">
        <v>4.0326327066564277E-2</v>
      </c>
      <c r="N103" s="5">
        <f>_xlfn.XLOOKUP(L103,'Campaign Metadata'!$A$2:$A$6,'Campaign Metadata'!$B$2:$B$6)</f>
        <v>45566</v>
      </c>
      <c r="O103" s="5">
        <f>_xlfn.XLOOKUP(L103,'Campaign Metadata'!$A$2:$A$6,'Campaign Metadata'!$C$2:$C$6)</f>
        <v>45596</v>
      </c>
      <c r="P103" t="str">
        <f t="shared" si="1"/>
        <v>Before</v>
      </c>
    </row>
    <row r="104" spans="1:16" x14ac:dyDescent="0.3">
      <c r="A104" t="s">
        <v>149</v>
      </c>
      <c r="B104" s="21" t="s">
        <v>29</v>
      </c>
      <c r="C104" s="5">
        <v>45505</v>
      </c>
      <c r="D104" s="21" t="s">
        <v>26</v>
      </c>
      <c r="E104" s="21" t="s">
        <v>11</v>
      </c>
      <c r="F104" s="22">
        <v>21758</v>
      </c>
      <c r="G104" s="22">
        <v>1380</v>
      </c>
      <c r="H104" s="22">
        <v>188</v>
      </c>
      <c r="I104" s="22">
        <v>1735</v>
      </c>
      <c r="J104" s="22">
        <v>20998</v>
      </c>
      <c r="K104" s="22">
        <v>147803</v>
      </c>
      <c r="L104" s="21" t="s">
        <v>65</v>
      </c>
      <c r="M104" s="4">
        <v>0.15781817689762725</v>
      </c>
      <c r="N104" s="5">
        <f>_xlfn.XLOOKUP(L104,'Campaign Metadata'!$A$2:$A$6,'Campaign Metadata'!$B$2:$B$6)</f>
        <v>45566</v>
      </c>
      <c r="O104" s="5">
        <f>_xlfn.XLOOKUP(L104,'Campaign Metadata'!$A$2:$A$6,'Campaign Metadata'!$C$2:$C$6)</f>
        <v>45596</v>
      </c>
      <c r="P104" t="str">
        <f t="shared" si="1"/>
        <v>Before</v>
      </c>
    </row>
    <row r="105" spans="1:16" x14ac:dyDescent="0.3">
      <c r="A105" t="s">
        <v>149</v>
      </c>
      <c r="B105" s="21" t="s">
        <v>29</v>
      </c>
      <c r="C105" s="5">
        <v>45505</v>
      </c>
      <c r="D105" s="21" t="s">
        <v>26</v>
      </c>
      <c r="E105" s="21" t="s">
        <v>1</v>
      </c>
      <c r="F105" s="22">
        <v>21758</v>
      </c>
      <c r="G105" s="22">
        <v>1380</v>
      </c>
      <c r="H105" s="22">
        <v>188</v>
      </c>
      <c r="I105" s="22">
        <v>1735</v>
      </c>
      <c r="J105" s="22">
        <v>20998</v>
      </c>
      <c r="K105" s="22">
        <v>147803</v>
      </c>
      <c r="L105" s="21" t="s">
        <v>65</v>
      </c>
      <c r="M105" s="4">
        <v>0.15781817689762725</v>
      </c>
      <c r="N105" s="5">
        <f>_xlfn.XLOOKUP(L105,'Campaign Metadata'!$A$2:$A$6,'Campaign Metadata'!$B$2:$B$6)</f>
        <v>45566</v>
      </c>
      <c r="O105" s="5">
        <f>_xlfn.XLOOKUP(L105,'Campaign Metadata'!$A$2:$A$6,'Campaign Metadata'!$C$2:$C$6)</f>
        <v>45596</v>
      </c>
      <c r="P105" t="str">
        <f t="shared" si="1"/>
        <v>Before</v>
      </c>
    </row>
    <row r="106" spans="1:16" x14ac:dyDescent="0.3">
      <c r="A106" t="s">
        <v>184</v>
      </c>
      <c r="B106" s="21" t="s">
        <v>31</v>
      </c>
      <c r="C106" s="5">
        <v>45509</v>
      </c>
      <c r="D106" s="21" t="s">
        <v>28</v>
      </c>
      <c r="E106" s="21" t="s">
        <v>10</v>
      </c>
      <c r="F106" s="22">
        <v>20935</v>
      </c>
      <c r="G106" s="22">
        <v>1104</v>
      </c>
      <c r="H106" s="22">
        <v>876</v>
      </c>
      <c r="I106" s="22">
        <v>1270</v>
      </c>
      <c r="J106" s="22">
        <v>21454</v>
      </c>
      <c r="K106" s="22">
        <v>208722</v>
      </c>
      <c r="L106" s="21" t="s">
        <v>60</v>
      </c>
      <c r="M106" s="4">
        <v>0.10978718103506099</v>
      </c>
      <c r="N106" s="5">
        <f>_xlfn.XLOOKUP(L106,'Campaign Metadata'!$A$2:$A$6,'Campaign Metadata'!$B$2:$B$6)</f>
        <v>45717</v>
      </c>
      <c r="O106" s="5">
        <f>_xlfn.XLOOKUP(L106,'Campaign Metadata'!$A$2:$A$6,'Campaign Metadata'!$C$2:$C$6)</f>
        <v>45747</v>
      </c>
      <c r="P106" t="str">
        <f t="shared" si="1"/>
        <v>Before</v>
      </c>
    </row>
    <row r="107" spans="1:16" x14ac:dyDescent="0.3">
      <c r="A107" t="s">
        <v>184</v>
      </c>
      <c r="B107" s="21" t="s">
        <v>31</v>
      </c>
      <c r="C107" s="5">
        <v>45509</v>
      </c>
      <c r="D107" s="21" t="s">
        <v>28</v>
      </c>
      <c r="E107" s="21" t="s">
        <v>8</v>
      </c>
      <c r="F107" s="22">
        <v>20935</v>
      </c>
      <c r="G107" s="22">
        <v>1104</v>
      </c>
      <c r="H107" s="22">
        <v>876</v>
      </c>
      <c r="I107" s="22">
        <v>1270</v>
      </c>
      <c r="J107" s="22">
        <v>21454</v>
      </c>
      <c r="K107" s="22">
        <v>208722</v>
      </c>
      <c r="L107" s="21" t="s">
        <v>60</v>
      </c>
      <c r="M107" s="4">
        <v>0.10978718103506099</v>
      </c>
      <c r="N107" s="5">
        <f>_xlfn.XLOOKUP(L107,'Campaign Metadata'!$A$2:$A$6,'Campaign Metadata'!$B$2:$B$6)</f>
        <v>45717</v>
      </c>
      <c r="O107" s="5">
        <f>_xlfn.XLOOKUP(L107,'Campaign Metadata'!$A$2:$A$6,'Campaign Metadata'!$C$2:$C$6)</f>
        <v>45747</v>
      </c>
      <c r="P107" t="str">
        <f t="shared" si="1"/>
        <v>Before</v>
      </c>
    </row>
    <row r="108" spans="1:16" x14ac:dyDescent="0.3">
      <c r="A108" t="s">
        <v>247</v>
      </c>
      <c r="B108" s="21" t="s">
        <v>29</v>
      </c>
      <c r="C108" s="5">
        <v>45509</v>
      </c>
      <c r="D108" s="21" t="s">
        <v>27</v>
      </c>
      <c r="E108" s="21" t="s">
        <v>9</v>
      </c>
      <c r="F108" s="22">
        <v>4048</v>
      </c>
      <c r="G108" s="22">
        <v>751</v>
      </c>
      <c r="H108" s="22">
        <v>930</v>
      </c>
      <c r="I108" s="22">
        <v>1382</v>
      </c>
      <c r="J108" s="22">
        <v>16844</v>
      </c>
      <c r="K108" s="22">
        <v>148177</v>
      </c>
      <c r="L108" s="21" t="s">
        <v>63</v>
      </c>
      <c r="M108" s="4">
        <v>3.8663220337839206E-2</v>
      </c>
      <c r="N108" s="5">
        <f>_xlfn.XLOOKUP(L108,'Campaign Metadata'!$A$2:$A$6,'Campaign Metadata'!$B$2:$B$6)</f>
        <v>45458</v>
      </c>
      <c r="O108" s="5">
        <f>_xlfn.XLOOKUP(L108,'Campaign Metadata'!$A$2:$A$6,'Campaign Metadata'!$C$2:$C$6)</f>
        <v>45488</v>
      </c>
      <c r="P108" t="str">
        <f t="shared" si="1"/>
        <v>After</v>
      </c>
    </row>
    <row r="109" spans="1:16" x14ac:dyDescent="0.3">
      <c r="A109" t="s">
        <v>247</v>
      </c>
      <c r="B109" s="21" t="s">
        <v>29</v>
      </c>
      <c r="C109" s="5">
        <v>45509</v>
      </c>
      <c r="D109" s="21" t="s">
        <v>27</v>
      </c>
      <c r="E109" s="21" t="s">
        <v>7</v>
      </c>
      <c r="F109" s="22">
        <v>4048</v>
      </c>
      <c r="G109" s="22">
        <v>751</v>
      </c>
      <c r="H109" s="22">
        <v>930</v>
      </c>
      <c r="I109" s="22">
        <v>1382</v>
      </c>
      <c r="J109" s="22">
        <v>16844</v>
      </c>
      <c r="K109" s="22">
        <v>148177</v>
      </c>
      <c r="L109" s="21" t="s">
        <v>63</v>
      </c>
      <c r="M109" s="4">
        <v>3.8663220337839206E-2</v>
      </c>
      <c r="N109" s="5">
        <f>_xlfn.XLOOKUP(L109,'Campaign Metadata'!$A$2:$A$6,'Campaign Metadata'!$B$2:$B$6)</f>
        <v>45458</v>
      </c>
      <c r="O109" s="5">
        <f>_xlfn.XLOOKUP(L109,'Campaign Metadata'!$A$2:$A$6,'Campaign Metadata'!$C$2:$C$6)</f>
        <v>45488</v>
      </c>
      <c r="P109" t="str">
        <f t="shared" si="1"/>
        <v>After</v>
      </c>
    </row>
    <row r="110" spans="1:16" x14ac:dyDescent="0.3">
      <c r="A110" t="s">
        <v>265</v>
      </c>
      <c r="B110" s="21" t="s">
        <v>31</v>
      </c>
      <c r="C110" s="5">
        <v>45512</v>
      </c>
      <c r="D110" s="21" t="s">
        <v>25</v>
      </c>
      <c r="E110" s="21" t="s">
        <v>9</v>
      </c>
      <c r="F110" s="22">
        <v>24355</v>
      </c>
      <c r="G110" s="22">
        <v>1087</v>
      </c>
      <c r="H110" s="22">
        <v>686</v>
      </c>
      <c r="I110" s="22">
        <v>2426</v>
      </c>
      <c r="J110" s="22">
        <v>24963</v>
      </c>
      <c r="K110" s="22">
        <v>212307</v>
      </c>
      <c r="L110" s="21" t="s">
        <v>59</v>
      </c>
      <c r="M110" s="4">
        <v>0.1230670679723231</v>
      </c>
      <c r="N110" s="5">
        <f>_xlfn.XLOOKUP(L110,'Campaign Metadata'!$A$2:$A$6,'Campaign Metadata'!$B$2:$B$6)</f>
        <v>45651</v>
      </c>
      <c r="O110" s="5">
        <f>_xlfn.XLOOKUP(L110,'Campaign Metadata'!$A$2:$A$6,'Campaign Metadata'!$C$2:$C$6)</f>
        <v>45667</v>
      </c>
      <c r="P110" t="str">
        <f t="shared" si="1"/>
        <v>Before</v>
      </c>
    </row>
    <row r="111" spans="1:16" x14ac:dyDescent="0.3">
      <c r="A111" t="s">
        <v>265</v>
      </c>
      <c r="B111" s="21" t="s">
        <v>31</v>
      </c>
      <c r="C111" s="5">
        <v>45512</v>
      </c>
      <c r="D111" s="21" t="s">
        <v>25</v>
      </c>
      <c r="E111" s="21" t="s">
        <v>7</v>
      </c>
      <c r="F111" s="22">
        <v>24355</v>
      </c>
      <c r="G111" s="22">
        <v>1087</v>
      </c>
      <c r="H111" s="22">
        <v>686</v>
      </c>
      <c r="I111" s="22">
        <v>2426</v>
      </c>
      <c r="J111" s="22">
        <v>24963</v>
      </c>
      <c r="K111" s="22">
        <v>212307</v>
      </c>
      <c r="L111" s="21" t="s">
        <v>59</v>
      </c>
      <c r="M111" s="4">
        <v>0.1230670679723231</v>
      </c>
      <c r="N111" s="5">
        <f>_xlfn.XLOOKUP(L111,'Campaign Metadata'!$A$2:$A$6,'Campaign Metadata'!$B$2:$B$6)</f>
        <v>45651</v>
      </c>
      <c r="O111" s="5">
        <f>_xlfn.XLOOKUP(L111,'Campaign Metadata'!$A$2:$A$6,'Campaign Metadata'!$C$2:$C$6)</f>
        <v>45667</v>
      </c>
      <c r="P111" t="str">
        <f t="shared" si="1"/>
        <v>Before</v>
      </c>
    </row>
    <row r="112" spans="1:16" x14ac:dyDescent="0.3">
      <c r="A112" t="s">
        <v>215</v>
      </c>
      <c r="B112" s="21" t="s">
        <v>31</v>
      </c>
      <c r="C112" s="5">
        <v>45515</v>
      </c>
      <c r="D112" s="21" t="s">
        <v>25</v>
      </c>
      <c r="E112" s="21" t="s">
        <v>16</v>
      </c>
      <c r="F112" s="22">
        <v>14394</v>
      </c>
      <c r="G112" s="22">
        <v>1202</v>
      </c>
      <c r="H112" s="22">
        <v>188</v>
      </c>
      <c r="I112" s="22">
        <v>1259</v>
      </c>
      <c r="J112" s="22">
        <v>21925</v>
      </c>
      <c r="K112" s="22">
        <v>94061</v>
      </c>
      <c r="L112" s="21" t="s">
        <v>63</v>
      </c>
      <c r="M112" s="4">
        <v>0.1678059982351878</v>
      </c>
      <c r="N112" s="5">
        <f>_xlfn.XLOOKUP(L112,'Campaign Metadata'!$A$2:$A$6,'Campaign Metadata'!$B$2:$B$6)</f>
        <v>45458</v>
      </c>
      <c r="O112" s="5">
        <f>_xlfn.XLOOKUP(L112,'Campaign Metadata'!$A$2:$A$6,'Campaign Metadata'!$C$2:$C$6)</f>
        <v>45488</v>
      </c>
      <c r="P112" t="str">
        <f t="shared" si="1"/>
        <v>After</v>
      </c>
    </row>
    <row r="113" spans="1:16" x14ac:dyDescent="0.3">
      <c r="A113" t="s">
        <v>215</v>
      </c>
      <c r="B113" s="21" t="s">
        <v>31</v>
      </c>
      <c r="C113" s="5">
        <v>45515</v>
      </c>
      <c r="D113" s="21" t="s">
        <v>25</v>
      </c>
      <c r="E113" s="21" t="s">
        <v>4</v>
      </c>
      <c r="F113" s="22">
        <v>14394</v>
      </c>
      <c r="G113" s="22">
        <v>1202</v>
      </c>
      <c r="H113" s="22">
        <v>188</v>
      </c>
      <c r="I113" s="22">
        <v>1259</v>
      </c>
      <c r="J113" s="22">
        <v>21925</v>
      </c>
      <c r="K113" s="22">
        <v>94061</v>
      </c>
      <c r="L113" s="21" t="s">
        <v>63</v>
      </c>
      <c r="M113" s="4">
        <v>0.1678059982351878</v>
      </c>
      <c r="N113" s="5">
        <f>_xlfn.XLOOKUP(L113,'Campaign Metadata'!$A$2:$A$6,'Campaign Metadata'!$B$2:$B$6)</f>
        <v>45458</v>
      </c>
      <c r="O113" s="5">
        <f>_xlfn.XLOOKUP(L113,'Campaign Metadata'!$A$2:$A$6,'Campaign Metadata'!$C$2:$C$6)</f>
        <v>45488</v>
      </c>
      <c r="P113" t="str">
        <f t="shared" si="1"/>
        <v>After</v>
      </c>
    </row>
    <row r="114" spans="1:16" x14ac:dyDescent="0.3">
      <c r="A114" t="s">
        <v>139</v>
      </c>
      <c r="B114" s="21" t="s">
        <v>32</v>
      </c>
      <c r="C114" s="5">
        <v>45516</v>
      </c>
      <c r="D114" s="21" t="s">
        <v>28</v>
      </c>
      <c r="E114" s="21" t="s">
        <v>3</v>
      </c>
      <c r="F114" s="22">
        <v>3581</v>
      </c>
      <c r="G114" s="22">
        <v>517</v>
      </c>
      <c r="H114" s="22">
        <v>880</v>
      </c>
      <c r="I114" s="22">
        <v>1925</v>
      </c>
      <c r="J114" s="22">
        <v>18636</v>
      </c>
      <c r="K114" s="22">
        <v>248611</v>
      </c>
      <c r="L114" s="21" t="s">
        <v>63</v>
      </c>
      <c r="M114" s="4">
        <v>2.0023249172401864E-2</v>
      </c>
      <c r="N114" s="5">
        <f>_xlfn.XLOOKUP(L114,'Campaign Metadata'!$A$2:$A$6,'Campaign Metadata'!$B$2:$B$6)</f>
        <v>45458</v>
      </c>
      <c r="O114" s="5">
        <f>_xlfn.XLOOKUP(L114,'Campaign Metadata'!$A$2:$A$6,'Campaign Metadata'!$C$2:$C$6)</f>
        <v>45488</v>
      </c>
      <c r="P114" t="str">
        <f t="shared" si="1"/>
        <v>After</v>
      </c>
    </row>
    <row r="115" spans="1:16" x14ac:dyDescent="0.3">
      <c r="A115" t="s">
        <v>139</v>
      </c>
      <c r="B115" s="21" t="s">
        <v>32</v>
      </c>
      <c r="C115" s="5">
        <v>45516</v>
      </c>
      <c r="D115" s="21" t="s">
        <v>28</v>
      </c>
      <c r="E115" s="21" t="s">
        <v>12</v>
      </c>
      <c r="F115" s="22">
        <v>3581</v>
      </c>
      <c r="G115" s="22">
        <v>517</v>
      </c>
      <c r="H115" s="22">
        <v>880</v>
      </c>
      <c r="I115" s="22">
        <v>1925</v>
      </c>
      <c r="J115" s="22">
        <v>18636</v>
      </c>
      <c r="K115" s="22">
        <v>248611</v>
      </c>
      <c r="L115" s="21" t="s">
        <v>63</v>
      </c>
      <c r="M115" s="4">
        <v>2.0023249172401864E-2</v>
      </c>
      <c r="N115" s="5">
        <f>_xlfn.XLOOKUP(L115,'Campaign Metadata'!$A$2:$A$6,'Campaign Metadata'!$B$2:$B$6)</f>
        <v>45458</v>
      </c>
      <c r="O115" s="5">
        <f>_xlfn.XLOOKUP(L115,'Campaign Metadata'!$A$2:$A$6,'Campaign Metadata'!$C$2:$C$6)</f>
        <v>45488</v>
      </c>
      <c r="P115" t="str">
        <f t="shared" si="1"/>
        <v>After</v>
      </c>
    </row>
    <row r="116" spans="1:16" x14ac:dyDescent="0.3">
      <c r="A116" t="s">
        <v>205</v>
      </c>
      <c r="B116" s="21" t="s">
        <v>30</v>
      </c>
      <c r="C116" s="5">
        <v>45516</v>
      </c>
      <c r="D116" s="21" t="s">
        <v>25</v>
      </c>
      <c r="E116" s="21" t="s">
        <v>4</v>
      </c>
      <c r="F116" s="22">
        <v>8376</v>
      </c>
      <c r="G116" s="22">
        <v>1154</v>
      </c>
      <c r="H116" s="22">
        <v>422</v>
      </c>
      <c r="I116" s="22">
        <v>1907</v>
      </c>
      <c r="J116" s="22">
        <v>36874</v>
      </c>
      <c r="K116" s="22">
        <v>218486</v>
      </c>
      <c r="L116" s="21" t="s">
        <v>60</v>
      </c>
      <c r="M116" s="4">
        <v>4.5549829279679245E-2</v>
      </c>
      <c r="N116" s="5">
        <f>_xlfn.XLOOKUP(L116,'Campaign Metadata'!$A$2:$A$6,'Campaign Metadata'!$B$2:$B$6)</f>
        <v>45717</v>
      </c>
      <c r="O116" s="5">
        <f>_xlfn.XLOOKUP(L116,'Campaign Metadata'!$A$2:$A$6,'Campaign Metadata'!$C$2:$C$6)</f>
        <v>45747</v>
      </c>
      <c r="P116" t="str">
        <f t="shared" si="1"/>
        <v>Before</v>
      </c>
    </row>
    <row r="117" spans="1:16" x14ac:dyDescent="0.3">
      <c r="A117" t="s">
        <v>205</v>
      </c>
      <c r="B117" s="21" t="s">
        <v>30</v>
      </c>
      <c r="C117" s="5">
        <v>45516</v>
      </c>
      <c r="D117" s="21" t="s">
        <v>25</v>
      </c>
      <c r="E117" s="21" t="s">
        <v>16</v>
      </c>
      <c r="F117" s="22">
        <v>8376</v>
      </c>
      <c r="G117" s="22">
        <v>1154</v>
      </c>
      <c r="H117" s="22">
        <v>422</v>
      </c>
      <c r="I117" s="22">
        <v>1907</v>
      </c>
      <c r="J117" s="22">
        <v>36874</v>
      </c>
      <c r="K117" s="22">
        <v>218486</v>
      </c>
      <c r="L117" s="21" t="s">
        <v>60</v>
      </c>
      <c r="M117" s="4">
        <v>4.5549829279679245E-2</v>
      </c>
      <c r="N117" s="5">
        <f>_xlfn.XLOOKUP(L117,'Campaign Metadata'!$A$2:$A$6,'Campaign Metadata'!$B$2:$B$6)</f>
        <v>45717</v>
      </c>
      <c r="O117" s="5">
        <f>_xlfn.XLOOKUP(L117,'Campaign Metadata'!$A$2:$A$6,'Campaign Metadata'!$C$2:$C$6)</f>
        <v>45747</v>
      </c>
      <c r="P117" t="str">
        <f t="shared" si="1"/>
        <v>Before</v>
      </c>
    </row>
    <row r="118" spans="1:16" x14ac:dyDescent="0.3">
      <c r="A118" t="s">
        <v>256</v>
      </c>
      <c r="B118" s="21" t="s">
        <v>31</v>
      </c>
      <c r="C118" s="5">
        <v>45517</v>
      </c>
      <c r="D118" s="21" t="s">
        <v>25</v>
      </c>
      <c r="E118" s="21" t="s">
        <v>19</v>
      </c>
      <c r="F118" s="22">
        <v>6854</v>
      </c>
      <c r="G118" s="22">
        <v>417</v>
      </c>
      <c r="H118" s="22">
        <v>467</v>
      </c>
      <c r="I118" s="22">
        <v>1003</v>
      </c>
      <c r="J118" s="22">
        <v>61333</v>
      </c>
      <c r="K118" s="22">
        <v>40281</v>
      </c>
      <c r="L118" s="21" t="s">
        <v>59</v>
      </c>
      <c r="M118" s="4">
        <v>0.19210049402944315</v>
      </c>
      <c r="N118" s="5">
        <f>_xlfn.XLOOKUP(L118,'Campaign Metadata'!$A$2:$A$6,'Campaign Metadata'!$B$2:$B$6)</f>
        <v>45651</v>
      </c>
      <c r="O118" s="5">
        <f>_xlfn.XLOOKUP(L118,'Campaign Metadata'!$A$2:$A$6,'Campaign Metadata'!$C$2:$C$6)</f>
        <v>45667</v>
      </c>
      <c r="P118" t="str">
        <f t="shared" si="1"/>
        <v>Before</v>
      </c>
    </row>
    <row r="119" spans="1:16" x14ac:dyDescent="0.3">
      <c r="A119" t="s">
        <v>256</v>
      </c>
      <c r="B119" s="21" t="s">
        <v>31</v>
      </c>
      <c r="C119" s="5">
        <v>45517</v>
      </c>
      <c r="D119" s="21" t="s">
        <v>25</v>
      </c>
      <c r="E119" s="21" t="s">
        <v>2</v>
      </c>
      <c r="F119" s="22">
        <v>6854</v>
      </c>
      <c r="G119" s="22">
        <v>417</v>
      </c>
      <c r="H119" s="22">
        <v>467</v>
      </c>
      <c r="I119" s="22">
        <v>1003</v>
      </c>
      <c r="J119" s="22">
        <v>61333</v>
      </c>
      <c r="K119" s="22">
        <v>40281</v>
      </c>
      <c r="L119" s="21" t="s">
        <v>59</v>
      </c>
      <c r="M119" s="4">
        <v>0.19210049402944315</v>
      </c>
      <c r="N119" s="5">
        <f>_xlfn.XLOOKUP(L119,'Campaign Metadata'!$A$2:$A$6,'Campaign Metadata'!$B$2:$B$6)</f>
        <v>45651</v>
      </c>
      <c r="O119" s="5">
        <f>_xlfn.XLOOKUP(L119,'Campaign Metadata'!$A$2:$A$6,'Campaign Metadata'!$C$2:$C$6)</f>
        <v>45667</v>
      </c>
      <c r="P119" t="str">
        <f t="shared" si="1"/>
        <v>Before</v>
      </c>
    </row>
    <row r="120" spans="1:16" x14ac:dyDescent="0.3">
      <c r="A120" t="s">
        <v>280</v>
      </c>
      <c r="B120" s="21" t="s">
        <v>29</v>
      </c>
      <c r="C120" s="5">
        <v>45518</v>
      </c>
      <c r="D120" s="21" t="s">
        <v>25</v>
      </c>
      <c r="E120" s="21" t="s">
        <v>19</v>
      </c>
      <c r="F120" s="22">
        <v>10150</v>
      </c>
      <c r="G120" s="22">
        <v>526</v>
      </c>
      <c r="H120" s="22">
        <v>888</v>
      </c>
      <c r="I120" s="22">
        <v>1313</v>
      </c>
      <c r="J120" s="22">
        <v>51605</v>
      </c>
      <c r="K120" s="22">
        <v>143409</v>
      </c>
      <c r="L120" s="21" t="s">
        <v>59</v>
      </c>
      <c r="M120" s="4">
        <v>8.0636501195880311E-2</v>
      </c>
      <c r="N120" s="5">
        <f>_xlfn.XLOOKUP(L120,'Campaign Metadata'!$A$2:$A$6,'Campaign Metadata'!$B$2:$B$6)</f>
        <v>45651</v>
      </c>
      <c r="O120" s="5">
        <f>_xlfn.XLOOKUP(L120,'Campaign Metadata'!$A$2:$A$6,'Campaign Metadata'!$C$2:$C$6)</f>
        <v>45667</v>
      </c>
      <c r="P120" t="str">
        <f t="shared" si="1"/>
        <v>Before</v>
      </c>
    </row>
    <row r="121" spans="1:16" x14ac:dyDescent="0.3">
      <c r="A121" t="s">
        <v>280</v>
      </c>
      <c r="B121" s="21" t="s">
        <v>29</v>
      </c>
      <c r="C121" s="5">
        <v>45518</v>
      </c>
      <c r="D121" s="21" t="s">
        <v>25</v>
      </c>
      <c r="E121" s="21" t="s">
        <v>2</v>
      </c>
      <c r="F121" s="22">
        <v>10150</v>
      </c>
      <c r="G121" s="22">
        <v>526</v>
      </c>
      <c r="H121" s="22">
        <v>888</v>
      </c>
      <c r="I121" s="22">
        <v>1313</v>
      </c>
      <c r="J121" s="22">
        <v>51605</v>
      </c>
      <c r="K121" s="22">
        <v>143409</v>
      </c>
      <c r="L121" s="21" t="s">
        <v>59</v>
      </c>
      <c r="M121" s="4">
        <v>8.0636501195880311E-2</v>
      </c>
      <c r="N121" s="5">
        <f>_xlfn.XLOOKUP(L121,'Campaign Metadata'!$A$2:$A$6,'Campaign Metadata'!$B$2:$B$6)</f>
        <v>45651</v>
      </c>
      <c r="O121" s="5">
        <f>_xlfn.XLOOKUP(L121,'Campaign Metadata'!$A$2:$A$6,'Campaign Metadata'!$C$2:$C$6)</f>
        <v>45667</v>
      </c>
      <c r="P121" t="str">
        <f t="shared" si="1"/>
        <v>Before</v>
      </c>
    </row>
    <row r="122" spans="1:16" x14ac:dyDescent="0.3">
      <c r="A122" t="s">
        <v>93</v>
      </c>
      <c r="B122" s="21" t="s">
        <v>32</v>
      </c>
      <c r="C122" s="5">
        <v>45519</v>
      </c>
      <c r="D122" s="21" t="s">
        <v>26</v>
      </c>
      <c r="E122" s="21" t="s">
        <v>3</v>
      </c>
      <c r="F122" s="22">
        <v>15503</v>
      </c>
      <c r="G122" s="22">
        <v>313</v>
      </c>
      <c r="H122" s="22">
        <v>388</v>
      </c>
      <c r="I122" s="22">
        <v>1078</v>
      </c>
      <c r="J122" s="22">
        <v>11500</v>
      </c>
      <c r="K122" s="22">
        <v>143754</v>
      </c>
      <c r="L122" s="21" t="s">
        <v>63</v>
      </c>
      <c r="M122" s="4">
        <v>0.1127203416948398</v>
      </c>
      <c r="N122" s="5">
        <f>_xlfn.XLOOKUP(L122,'Campaign Metadata'!$A$2:$A$6,'Campaign Metadata'!$B$2:$B$6)</f>
        <v>45458</v>
      </c>
      <c r="O122" s="5">
        <f>_xlfn.XLOOKUP(L122,'Campaign Metadata'!$A$2:$A$6,'Campaign Metadata'!$C$2:$C$6)</f>
        <v>45488</v>
      </c>
      <c r="P122" t="str">
        <f t="shared" si="1"/>
        <v>After</v>
      </c>
    </row>
    <row r="123" spans="1:16" x14ac:dyDescent="0.3">
      <c r="A123" t="s">
        <v>93</v>
      </c>
      <c r="B123" s="21" t="s">
        <v>32</v>
      </c>
      <c r="C123" s="5">
        <v>45519</v>
      </c>
      <c r="D123" s="21" t="s">
        <v>26</v>
      </c>
      <c r="E123" s="21" t="s">
        <v>14</v>
      </c>
      <c r="F123" s="22">
        <v>15503</v>
      </c>
      <c r="G123" s="22">
        <v>313</v>
      </c>
      <c r="H123" s="22">
        <v>388</v>
      </c>
      <c r="I123" s="22">
        <v>1078</v>
      </c>
      <c r="J123" s="22">
        <v>11500</v>
      </c>
      <c r="K123" s="22">
        <v>143754</v>
      </c>
      <c r="L123" s="21" t="s">
        <v>63</v>
      </c>
      <c r="M123" s="4">
        <v>0.1127203416948398</v>
      </c>
      <c r="N123" s="5">
        <f>_xlfn.XLOOKUP(L123,'Campaign Metadata'!$A$2:$A$6,'Campaign Metadata'!$B$2:$B$6)</f>
        <v>45458</v>
      </c>
      <c r="O123" s="5">
        <f>_xlfn.XLOOKUP(L123,'Campaign Metadata'!$A$2:$A$6,'Campaign Metadata'!$C$2:$C$6)</f>
        <v>45488</v>
      </c>
      <c r="P123" t="str">
        <f t="shared" si="1"/>
        <v>After</v>
      </c>
    </row>
    <row r="124" spans="1:16" x14ac:dyDescent="0.3">
      <c r="A124" t="s">
        <v>41</v>
      </c>
      <c r="B124" s="21" t="s">
        <v>29</v>
      </c>
      <c r="C124" s="5">
        <v>45519</v>
      </c>
      <c r="D124" s="21" t="s">
        <v>28</v>
      </c>
      <c r="E124" s="21" t="s">
        <v>3</v>
      </c>
      <c r="F124" s="22">
        <v>14977</v>
      </c>
      <c r="G124" s="22">
        <v>274</v>
      </c>
      <c r="H124" s="22">
        <v>798</v>
      </c>
      <c r="I124" s="22">
        <v>458</v>
      </c>
      <c r="J124" s="22">
        <v>6636</v>
      </c>
      <c r="K124" s="22">
        <v>43654</v>
      </c>
      <c r="L124" s="21" t="s">
        <v>59</v>
      </c>
      <c r="M124" s="4">
        <v>0.36764099509781462</v>
      </c>
      <c r="N124" s="5">
        <f>_xlfn.XLOOKUP(L124,'Campaign Metadata'!$A$2:$A$6,'Campaign Metadata'!$B$2:$B$6)</f>
        <v>45651</v>
      </c>
      <c r="O124" s="5">
        <f>_xlfn.XLOOKUP(L124,'Campaign Metadata'!$A$2:$A$6,'Campaign Metadata'!$C$2:$C$6)</f>
        <v>45667</v>
      </c>
      <c r="P124" t="str">
        <f t="shared" si="1"/>
        <v>Before</v>
      </c>
    </row>
    <row r="125" spans="1:16" x14ac:dyDescent="0.3">
      <c r="A125" t="s">
        <v>41</v>
      </c>
      <c r="B125" s="21" t="s">
        <v>29</v>
      </c>
      <c r="C125" s="5">
        <v>45519</v>
      </c>
      <c r="D125" s="21" t="s">
        <v>28</v>
      </c>
      <c r="E125" s="21" t="s">
        <v>12</v>
      </c>
      <c r="F125" s="22">
        <v>14977</v>
      </c>
      <c r="G125" s="22">
        <v>274</v>
      </c>
      <c r="H125" s="22">
        <v>798</v>
      </c>
      <c r="I125" s="22">
        <v>458</v>
      </c>
      <c r="J125" s="22">
        <v>6636</v>
      </c>
      <c r="K125" s="22">
        <v>43654</v>
      </c>
      <c r="L125" s="21" t="s">
        <v>59</v>
      </c>
      <c r="M125" s="4">
        <v>0.36764099509781462</v>
      </c>
      <c r="N125" s="5">
        <f>_xlfn.XLOOKUP(L125,'Campaign Metadata'!$A$2:$A$6,'Campaign Metadata'!$B$2:$B$6)</f>
        <v>45651</v>
      </c>
      <c r="O125" s="5">
        <f>_xlfn.XLOOKUP(L125,'Campaign Metadata'!$A$2:$A$6,'Campaign Metadata'!$C$2:$C$6)</f>
        <v>45667</v>
      </c>
      <c r="P125" t="str">
        <f t="shared" si="1"/>
        <v>Before</v>
      </c>
    </row>
    <row r="126" spans="1:16" x14ac:dyDescent="0.3">
      <c r="A126" t="s">
        <v>189</v>
      </c>
      <c r="B126" s="21" t="s">
        <v>29</v>
      </c>
      <c r="C126" s="5">
        <v>45521</v>
      </c>
      <c r="D126" s="21" t="s">
        <v>28</v>
      </c>
      <c r="E126" s="21" t="s">
        <v>18</v>
      </c>
      <c r="F126" s="22">
        <v>19154</v>
      </c>
      <c r="G126" s="22">
        <v>1064</v>
      </c>
      <c r="H126" s="22">
        <v>650</v>
      </c>
      <c r="I126" s="22">
        <v>747</v>
      </c>
      <c r="J126" s="22">
        <v>42667</v>
      </c>
      <c r="K126" s="22">
        <v>242332</v>
      </c>
      <c r="L126" s="21" t="s">
        <v>60</v>
      </c>
      <c r="M126" s="4">
        <v>8.6113266097750191E-2</v>
      </c>
      <c r="N126" s="5">
        <f>_xlfn.XLOOKUP(L126,'Campaign Metadata'!$A$2:$A$6,'Campaign Metadata'!$B$2:$B$6)</f>
        <v>45717</v>
      </c>
      <c r="O126" s="5">
        <f>_xlfn.XLOOKUP(L126,'Campaign Metadata'!$A$2:$A$6,'Campaign Metadata'!$C$2:$C$6)</f>
        <v>45747</v>
      </c>
      <c r="P126" t="str">
        <f t="shared" si="1"/>
        <v>Before</v>
      </c>
    </row>
    <row r="127" spans="1:16" x14ac:dyDescent="0.3">
      <c r="A127" t="s">
        <v>283</v>
      </c>
      <c r="B127" s="21" t="s">
        <v>30</v>
      </c>
      <c r="C127" s="5">
        <v>45523</v>
      </c>
      <c r="D127" s="21" t="s">
        <v>26</v>
      </c>
      <c r="E127" s="21" t="s">
        <v>9</v>
      </c>
      <c r="F127" s="22">
        <v>15550</v>
      </c>
      <c r="G127" s="22">
        <v>204</v>
      </c>
      <c r="H127" s="22">
        <v>279</v>
      </c>
      <c r="I127" s="22">
        <v>1646</v>
      </c>
      <c r="J127" s="22">
        <v>35819</v>
      </c>
      <c r="K127" s="22">
        <v>219436</v>
      </c>
      <c r="L127" s="21" t="s">
        <v>59</v>
      </c>
      <c r="M127" s="4">
        <v>7.306458375107093E-2</v>
      </c>
      <c r="N127" s="5">
        <f>_xlfn.XLOOKUP(L127,'Campaign Metadata'!$A$2:$A$6,'Campaign Metadata'!$B$2:$B$6)</f>
        <v>45651</v>
      </c>
      <c r="O127" s="5">
        <f>_xlfn.XLOOKUP(L127,'Campaign Metadata'!$A$2:$A$6,'Campaign Metadata'!$C$2:$C$6)</f>
        <v>45667</v>
      </c>
      <c r="P127" t="str">
        <f t="shared" si="1"/>
        <v>Before</v>
      </c>
    </row>
    <row r="128" spans="1:16" x14ac:dyDescent="0.3">
      <c r="A128" t="s">
        <v>283</v>
      </c>
      <c r="B128" s="21" t="s">
        <v>30</v>
      </c>
      <c r="C128" s="5">
        <v>45523</v>
      </c>
      <c r="D128" s="21" t="s">
        <v>26</v>
      </c>
      <c r="E128" s="21" t="s">
        <v>7</v>
      </c>
      <c r="F128" s="22">
        <v>15550</v>
      </c>
      <c r="G128" s="22">
        <v>204</v>
      </c>
      <c r="H128" s="22">
        <v>279</v>
      </c>
      <c r="I128" s="22">
        <v>1646</v>
      </c>
      <c r="J128" s="22">
        <v>35819</v>
      </c>
      <c r="K128" s="22">
        <v>219436</v>
      </c>
      <c r="L128" s="21" t="s">
        <v>59</v>
      </c>
      <c r="M128" s="4">
        <v>7.306458375107093E-2</v>
      </c>
      <c r="N128" s="5">
        <f>_xlfn.XLOOKUP(L128,'Campaign Metadata'!$A$2:$A$6,'Campaign Metadata'!$B$2:$B$6)</f>
        <v>45651</v>
      </c>
      <c r="O128" s="5">
        <f>_xlfn.XLOOKUP(L128,'Campaign Metadata'!$A$2:$A$6,'Campaign Metadata'!$C$2:$C$6)</f>
        <v>45667</v>
      </c>
      <c r="P128" t="str">
        <f t="shared" si="1"/>
        <v>Before</v>
      </c>
    </row>
    <row r="129" spans="1:16" x14ac:dyDescent="0.3">
      <c r="A129" t="s">
        <v>249</v>
      </c>
      <c r="B129" s="21" t="s">
        <v>30</v>
      </c>
      <c r="C129" s="5">
        <v>45523</v>
      </c>
      <c r="D129" s="21" t="s">
        <v>28</v>
      </c>
      <c r="E129" s="21" t="s">
        <v>15</v>
      </c>
      <c r="F129" s="22">
        <v>3605</v>
      </c>
      <c r="G129" s="22">
        <v>206</v>
      </c>
      <c r="H129" s="22">
        <v>921</v>
      </c>
      <c r="I129" s="22">
        <v>852</v>
      </c>
      <c r="J129" s="22">
        <v>11660</v>
      </c>
      <c r="K129" s="22">
        <v>182635</v>
      </c>
      <c r="L129" s="21" t="s">
        <v>63</v>
      </c>
      <c r="M129" s="4">
        <v>2.590960111698196E-2</v>
      </c>
      <c r="N129" s="5">
        <f>_xlfn.XLOOKUP(L129,'Campaign Metadata'!$A$2:$A$6,'Campaign Metadata'!$B$2:$B$6)</f>
        <v>45458</v>
      </c>
      <c r="O129" s="5">
        <f>_xlfn.XLOOKUP(L129,'Campaign Metadata'!$A$2:$A$6,'Campaign Metadata'!$C$2:$C$6)</f>
        <v>45488</v>
      </c>
      <c r="P129" t="str">
        <f t="shared" si="1"/>
        <v>After</v>
      </c>
    </row>
    <row r="130" spans="1:16" x14ac:dyDescent="0.3">
      <c r="A130" t="s">
        <v>249</v>
      </c>
      <c r="B130" s="21" t="s">
        <v>30</v>
      </c>
      <c r="C130" s="5">
        <v>45523</v>
      </c>
      <c r="D130" s="21" t="s">
        <v>28</v>
      </c>
      <c r="E130" s="21" t="s">
        <v>18</v>
      </c>
      <c r="F130" s="22">
        <v>3605</v>
      </c>
      <c r="G130" s="22">
        <v>206</v>
      </c>
      <c r="H130" s="22">
        <v>921</v>
      </c>
      <c r="I130" s="22">
        <v>852</v>
      </c>
      <c r="J130" s="22">
        <v>11660</v>
      </c>
      <c r="K130" s="22">
        <v>182635</v>
      </c>
      <c r="L130" s="21" t="s">
        <v>63</v>
      </c>
      <c r="M130" s="4">
        <v>2.590960111698196E-2</v>
      </c>
      <c r="N130" s="5">
        <f>_xlfn.XLOOKUP(L130,'Campaign Metadata'!$A$2:$A$6,'Campaign Metadata'!$B$2:$B$6)</f>
        <v>45458</v>
      </c>
      <c r="O130" s="5">
        <f>_xlfn.XLOOKUP(L130,'Campaign Metadata'!$A$2:$A$6,'Campaign Metadata'!$C$2:$C$6)</f>
        <v>45488</v>
      </c>
      <c r="P130" t="str">
        <f t="shared" si="1"/>
        <v>After</v>
      </c>
    </row>
    <row r="131" spans="1:16" x14ac:dyDescent="0.3">
      <c r="A131" t="s">
        <v>276</v>
      </c>
      <c r="B131" s="21" t="s">
        <v>29</v>
      </c>
      <c r="C131" s="5">
        <v>45524</v>
      </c>
      <c r="D131" s="21" t="s">
        <v>27</v>
      </c>
      <c r="E131" s="21" t="s">
        <v>18</v>
      </c>
      <c r="F131" s="22">
        <v>2846</v>
      </c>
      <c r="G131" s="22">
        <v>792</v>
      </c>
      <c r="H131" s="22">
        <v>902</v>
      </c>
      <c r="I131" s="22">
        <v>2469</v>
      </c>
      <c r="J131" s="22">
        <v>12130</v>
      </c>
      <c r="K131" s="22">
        <v>47151</v>
      </c>
      <c r="L131" s="21" t="s">
        <v>59</v>
      </c>
      <c r="M131" s="4">
        <v>9.6286399015927546E-2</v>
      </c>
      <c r="N131" s="5">
        <f>_xlfn.XLOOKUP(L131,'Campaign Metadata'!$A$2:$A$6,'Campaign Metadata'!$B$2:$B$6)</f>
        <v>45651</v>
      </c>
      <c r="O131" s="5">
        <f>_xlfn.XLOOKUP(L131,'Campaign Metadata'!$A$2:$A$6,'Campaign Metadata'!$C$2:$C$6)</f>
        <v>45667</v>
      </c>
      <c r="P131" t="str">
        <f t="shared" ref="P131:P194" si="2">IF(C131&lt;N131, "Before", IF(C131&gt;O131, "After", "During"))</f>
        <v>Before</v>
      </c>
    </row>
    <row r="132" spans="1:16" x14ac:dyDescent="0.3">
      <c r="A132" t="s">
        <v>212</v>
      </c>
      <c r="B132" s="21" t="s">
        <v>30</v>
      </c>
      <c r="C132" s="5">
        <v>45526</v>
      </c>
      <c r="D132" s="21" t="s">
        <v>28</v>
      </c>
      <c r="E132" s="21" t="s">
        <v>18</v>
      </c>
      <c r="F132" s="22">
        <v>16124</v>
      </c>
      <c r="G132" s="22">
        <v>863</v>
      </c>
      <c r="H132" s="22">
        <v>337</v>
      </c>
      <c r="I132" s="22">
        <v>819</v>
      </c>
      <c r="J132" s="22">
        <v>85788</v>
      </c>
      <c r="K132" s="22">
        <v>68625</v>
      </c>
      <c r="L132" s="21" t="s">
        <v>63</v>
      </c>
      <c r="M132" s="4">
        <v>0.25244444444444447</v>
      </c>
      <c r="N132" s="5">
        <f>_xlfn.XLOOKUP(L132,'Campaign Metadata'!$A$2:$A$6,'Campaign Metadata'!$B$2:$B$6)</f>
        <v>45458</v>
      </c>
      <c r="O132" s="5">
        <f>_xlfn.XLOOKUP(L132,'Campaign Metadata'!$A$2:$A$6,'Campaign Metadata'!$C$2:$C$6)</f>
        <v>45488</v>
      </c>
      <c r="P132" t="str">
        <f t="shared" si="2"/>
        <v>After</v>
      </c>
    </row>
    <row r="133" spans="1:16" x14ac:dyDescent="0.3">
      <c r="A133" t="s">
        <v>212</v>
      </c>
      <c r="B133" s="21" t="s">
        <v>30</v>
      </c>
      <c r="C133" s="5">
        <v>45526</v>
      </c>
      <c r="D133" s="21" t="s">
        <v>28</v>
      </c>
      <c r="E133" s="21" t="s">
        <v>15</v>
      </c>
      <c r="F133" s="22">
        <v>16124</v>
      </c>
      <c r="G133" s="22">
        <v>863</v>
      </c>
      <c r="H133" s="22">
        <v>337</v>
      </c>
      <c r="I133" s="22">
        <v>819</v>
      </c>
      <c r="J133" s="22">
        <v>85788</v>
      </c>
      <c r="K133" s="22">
        <v>68625</v>
      </c>
      <c r="L133" s="21" t="s">
        <v>63</v>
      </c>
      <c r="M133" s="4">
        <v>0.25244444444444447</v>
      </c>
      <c r="N133" s="5">
        <f>_xlfn.XLOOKUP(L133,'Campaign Metadata'!$A$2:$A$6,'Campaign Metadata'!$B$2:$B$6)</f>
        <v>45458</v>
      </c>
      <c r="O133" s="5">
        <f>_xlfn.XLOOKUP(L133,'Campaign Metadata'!$A$2:$A$6,'Campaign Metadata'!$C$2:$C$6)</f>
        <v>45488</v>
      </c>
      <c r="P133" t="str">
        <f t="shared" si="2"/>
        <v>After</v>
      </c>
    </row>
    <row r="134" spans="1:16" x14ac:dyDescent="0.3">
      <c r="A134" t="s">
        <v>148</v>
      </c>
      <c r="B134" s="21" t="s">
        <v>30</v>
      </c>
      <c r="C134" s="5">
        <v>45528</v>
      </c>
      <c r="D134" s="21" t="s">
        <v>27</v>
      </c>
      <c r="E134" s="21" t="s">
        <v>15</v>
      </c>
      <c r="F134" s="22">
        <v>22527</v>
      </c>
      <c r="G134" s="22">
        <v>865</v>
      </c>
      <c r="H134" s="22">
        <v>646</v>
      </c>
      <c r="I134" s="22">
        <v>992</v>
      </c>
      <c r="J134" s="22">
        <v>18654</v>
      </c>
      <c r="K134" s="22">
        <v>141376</v>
      </c>
      <c r="L134" s="21" t="s">
        <v>65</v>
      </c>
      <c r="M134" s="4">
        <v>0.17002885921231325</v>
      </c>
      <c r="N134" s="5">
        <f>_xlfn.XLOOKUP(L134,'Campaign Metadata'!$A$2:$A$6,'Campaign Metadata'!$B$2:$B$6)</f>
        <v>45566</v>
      </c>
      <c r="O134" s="5">
        <f>_xlfn.XLOOKUP(L134,'Campaign Metadata'!$A$2:$A$6,'Campaign Metadata'!$C$2:$C$6)</f>
        <v>45596</v>
      </c>
      <c r="P134" t="str">
        <f t="shared" si="2"/>
        <v>Before</v>
      </c>
    </row>
    <row r="135" spans="1:16" x14ac:dyDescent="0.3">
      <c r="A135" t="s">
        <v>148</v>
      </c>
      <c r="B135" s="21" t="s">
        <v>30</v>
      </c>
      <c r="C135" s="5">
        <v>45528</v>
      </c>
      <c r="D135" s="21" t="s">
        <v>27</v>
      </c>
      <c r="E135" s="21" t="s">
        <v>18</v>
      </c>
      <c r="F135" s="22">
        <v>22527</v>
      </c>
      <c r="G135" s="22">
        <v>865</v>
      </c>
      <c r="H135" s="22">
        <v>646</v>
      </c>
      <c r="I135" s="22">
        <v>992</v>
      </c>
      <c r="J135" s="22">
        <v>18654</v>
      </c>
      <c r="K135" s="22">
        <v>141376</v>
      </c>
      <c r="L135" s="21" t="s">
        <v>65</v>
      </c>
      <c r="M135" s="4">
        <v>0.17002885921231325</v>
      </c>
      <c r="N135" s="5">
        <f>_xlfn.XLOOKUP(L135,'Campaign Metadata'!$A$2:$A$6,'Campaign Metadata'!$B$2:$B$6)</f>
        <v>45566</v>
      </c>
      <c r="O135" s="5">
        <f>_xlfn.XLOOKUP(L135,'Campaign Metadata'!$A$2:$A$6,'Campaign Metadata'!$C$2:$C$6)</f>
        <v>45596</v>
      </c>
      <c r="P135" t="str">
        <f t="shared" si="2"/>
        <v>Before</v>
      </c>
    </row>
    <row r="136" spans="1:16" x14ac:dyDescent="0.3">
      <c r="A136" t="s">
        <v>173</v>
      </c>
      <c r="B136" s="21" t="s">
        <v>29</v>
      </c>
      <c r="C136" s="5">
        <v>45528</v>
      </c>
      <c r="D136" s="21" t="s">
        <v>28</v>
      </c>
      <c r="E136" s="21" t="s">
        <v>11</v>
      </c>
      <c r="F136" s="22">
        <v>24890</v>
      </c>
      <c r="G136" s="22">
        <v>217</v>
      </c>
      <c r="H136" s="22">
        <v>178</v>
      </c>
      <c r="I136" s="22">
        <v>906</v>
      </c>
      <c r="J136" s="22">
        <v>54826</v>
      </c>
      <c r="K136" s="22">
        <v>107203</v>
      </c>
      <c r="L136" s="21" t="s">
        <v>60</v>
      </c>
      <c r="M136" s="4">
        <v>0.23586093672751696</v>
      </c>
      <c r="N136" s="5">
        <f>_xlfn.XLOOKUP(L136,'Campaign Metadata'!$A$2:$A$6,'Campaign Metadata'!$B$2:$B$6)</f>
        <v>45717</v>
      </c>
      <c r="O136" s="5">
        <f>_xlfn.XLOOKUP(L136,'Campaign Metadata'!$A$2:$A$6,'Campaign Metadata'!$C$2:$C$6)</f>
        <v>45747</v>
      </c>
      <c r="P136" t="str">
        <f t="shared" si="2"/>
        <v>Before</v>
      </c>
    </row>
    <row r="137" spans="1:16" x14ac:dyDescent="0.3">
      <c r="A137" t="s">
        <v>173</v>
      </c>
      <c r="B137" s="21" t="s">
        <v>29</v>
      </c>
      <c r="C137" s="5">
        <v>45528</v>
      </c>
      <c r="D137" s="21" t="s">
        <v>28</v>
      </c>
      <c r="E137" s="21" t="s">
        <v>1</v>
      </c>
      <c r="F137" s="22">
        <v>24890</v>
      </c>
      <c r="G137" s="22">
        <v>217</v>
      </c>
      <c r="H137" s="22">
        <v>178</v>
      </c>
      <c r="I137" s="22">
        <v>906</v>
      </c>
      <c r="J137" s="22">
        <v>54826</v>
      </c>
      <c r="K137" s="22">
        <v>107203</v>
      </c>
      <c r="L137" s="21" t="s">
        <v>60</v>
      </c>
      <c r="M137" s="4">
        <v>0.23586093672751696</v>
      </c>
      <c r="N137" s="5">
        <f>_xlfn.XLOOKUP(L137,'Campaign Metadata'!$A$2:$A$6,'Campaign Metadata'!$B$2:$B$6)</f>
        <v>45717</v>
      </c>
      <c r="O137" s="5">
        <f>_xlfn.XLOOKUP(L137,'Campaign Metadata'!$A$2:$A$6,'Campaign Metadata'!$C$2:$C$6)</f>
        <v>45747</v>
      </c>
      <c r="P137" t="str">
        <f t="shared" si="2"/>
        <v>Before</v>
      </c>
    </row>
    <row r="138" spans="1:16" x14ac:dyDescent="0.3">
      <c r="A138" t="s">
        <v>246</v>
      </c>
      <c r="B138" s="21" t="s">
        <v>29</v>
      </c>
      <c r="C138" s="5">
        <v>45530</v>
      </c>
      <c r="D138" s="21" t="s">
        <v>25</v>
      </c>
      <c r="E138" s="21" t="s">
        <v>9</v>
      </c>
      <c r="F138" s="22">
        <v>4193</v>
      </c>
      <c r="G138" s="22">
        <v>924</v>
      </c>
      <c r="H138" s="22">
        <v>707</v>
      </c>
      <c r="I138" s="22">
        <v>2696</v>
      </c>
      <c r="J138" s="22">
        <v>55075</v>
      </c>
      <c r="K138" s="22">
        <v>126652</v>
      </c>
      <c r="L138" s="21" t="s">
        <v>63</v>
      </c>
      <c r="M138" s="4">
        <v>4.5984271863057827E-2</v>
      </c>
      <c r="N138" s="5">
        <f>_xlfn.XLOOKUP(L138,'Campaign Metadata'!$A$2:$A$6,'Campaign Metadata'!$B$2:$B$6)</f>
        <v>45458</v>
      </c>
      <c r="O138" s="5">
        <f>_xlfn.XLOOKUP(L138,'Campaign Metadata'!$A$2:$A$6,'Campaign Metadata'!$C$2:$C$6)</f>
        <v>45488</v>
      </c>
      <c r="P138" t="str">
        <f t="shared" si="2"/>
        <v>After</v>
      </c>
    </row>
    <row r="139" spans="1:16" x14ac:dyDescent="0.3">
      <c r="A139" t="s">
        <v>246</v>
      </c>
      <c r="B139" s="21" t="s">
        <v>29</v>
      </c>
      <c r="C139" s="5">
        <v>45530</v>
      </c>
      <c r="D139" s="21" t="s">
        <v>25</v>
      </c>
      <c r="E139" s="21" t="s">
        <v>7</v>
      </c>
      <c r="F139" s="22">
        <v>4193</v>
      </c>
      <c r="G139" s="22">
        <v>924</v>
      </c>
      <c r="H139" s="22">
        <v>707</v>
      </c>
      <c r="I139" s="22">
        <v>2696</v>
      </c>
      <c r="J139" s="22">
        <v>55075</v>
      </c>
      <c r="K139" s="22">
        <v>126652</v>
      </c>
      <c r="L139" s="21" t="s">
        <v>63</v>
      </c>
      <c r="M139" s="4">
        <v>4.5984271863057827E-2</v>
      </c>
      <c r="N139" s="5">
        <f>_xlfn.XLOOKUP(L139,'Campaign Metadata'!$A$2:$A$6,'Campaign Metadata'!$B$2:$B$6)</f>
        <v>45458</v>
      </c>
      <c r="O139" s="5">
        <f>_xlfn.XLOOKUP(L139,'Campaign Metadata'!$A$2:$A$6,'Campaign Metadata'!$C$2:$C$6)</f>
        <v>45488</v>
      </c>
      <c r="P139" t="str">
        <f t="shared" si="2"/>
        <v>After</v>
      </c>
    </row>
    <row r="140" spans="1:16" x14ac:dyDescent="0.3">
      <c r="A140" t="s">
        <v>295</v>
      </c>
      <c r="B140" s="21" t="s">
        <v>29</v>
      </c>
      <c r="C140" s="5">
        <v>45531</v>
      </c>
      <c r="D140" s="21" t="s">
        <v>26</v>
      </c>
      <c r="E140" s="21" t="s">
        <v>17</v>
      </c>
      <c r="F140" s="22">
        <v>6324</v>
      </c>
      <c r="G140" s="22">
        <v>908</v>
      </c>
      <c r="H140" s="22">
        <v>375</v>
      </c>
      <c r="I140" s="22">
        <v>758</v>
      </c>
      <c r="J140" s="22">
        <v>34850</v>
      </c>
      <c r="K140" s="22">
        <v>241039</v>
      </c>
      <c r="L140" s="21" t="s">
        <v>59</v>
      </c>
      <c r="M140" s="4">
        <v>3.1559208260903839E-2</v>
      </c>
      <c r="N140" s="5">
        <f>_xlfn.XLOOKUP(L140,'Campaign Metadata'!$A$2:$A$6,'Campaign Metadata'!$B$2:$B$6)</f>
        <v>45651</v>
      </c>
      <c r="O140" s="5">
        <f>_xlfn.XLOOKUP(L140,'Campaign Metadata'!$A$2:$A$6,'Campaign Metadata'!$C$2:$C$6)</f>
        <v>45667</v>
      </c>
      <c r="P140" t="str">
        <f t="shared" si="2"/>
        <v>Before</v>
      </c>
    </row>
    <row r="141" spans="1:16" x14ac:dyDescent="0.3">
      <c r="A141" t="s">
        <v>290</v>
      </c>
      <c r="B141" s="21" t="s">
        <v>32</v>
      </c>
      <c r="C141" s="5">
        <v>45534</v>
      </c>
      <c r="D141" s="21" t="s">
        <v>25</v>
      </c>
      <c r="E141" s="21" t="s">
        <v>16</v>
      </c>
      <c r="F141" s="22">
        <v>6804</v>
      </c>
      <c r="G141" s="22">
        <v>787</v>
      </c>
      <c r="H141" s="22">
        <v>970</v>
      </c>
      <c r="I141" s="22">
        <v>1095</v>
      </c>
      <c r="J141" s="22">
        <v>56343</v>
      </c>
      <c r="K141" s="22">
        <v>164677</v>
      </c>
      <c r="L141" s="21" t="s">
        <v>59</v>
      </c>
      <c r="M141" s="4">
        <v>5.1986616224487935E-2</v>
      </c>
      <c r="N141" s="5">
        <f>_xlfn.XLOOKUP(L141,'Campaign Metadata'!$A$2:$A$6,'Campaign Metadata'!$B$2:$B$6)</f>
        <v>45651</v>
      </c>
      <c r="O141" s="5">
        <f>_xlfn.XLOOKUP(L141,'Campaign Metadata'!$A$2:$A$6,'Campaign Metadata'!$C$2:$C$6)</f>
        <v>45667</v>
      </c>
      <c r="P141" t="str">
        <f t="shared" si="2"/>
        <v>Before</v>
      </c>
    </row>
    <row r="142" spans="1:16" x14ac:dyDescent="0.3">
      <c r="A142" t="s">
        <v>290</v>
      </c>
      <c r="B142" s="21" t="s">
        <v>32</v>
      </c>
      <c r="C142" s="5">
        <v>45534</v>
      </c>
      <c r="D142" s="21" t="s">
        <v>25</v>
      </c>
      <c r="E142" s="21" t="s">
        <v>4</v>
      </c>
      <c r="F142" s="22">
        <v>6804</v>
      </c>
      <c r="G142" s="22">
        <v>787</v>
      </c>
      <c r="H142" s="22">
        <v>970</v>
      </c>
      <c r="I142" s="22">
        <v>1095</v>
      </c>
      <c r="J142" s="22">
        <v>56343</v>
      </c>
      <c r="K142" s="22">
        <v>164677</v>
      </c>
      <c r="L142" s="21" t="s">
        <v>59</v>
      </c>
      <c r="M142" s="4">
        <v>5.1986616224487935E-2</v>
      </c>
      <c r="N142" s="5">
        <f>_xlfn.XLOOKUP(L142,'Campaign Metadata'!$A$2:$A$6,'Campaign Metadata'!$B$2:$B$6)</f>
        <v>45651</v>
      </c>
      <c r="O142" s="5">
        <f>_xlfn.XLOOKUP(L142,'Campaign Metadata'!$A$2:$A$6,'Campaign Metadata'!$C$2:$C$6)</f>
        <v>45667</v>
      </c>
      <c r="P142" t="str">
        <f t="shared" si="2"/>
        <v>Before</v>
      </c>
    </row>
    <row r="143" spans="1:16" x14ac:dyDescent="0.3">
      <c r="A143" t="s">
        <v>94</v>
      </c>
      <c r="B143" s="21" t="s">
        <v>31</v>
      </c>
      <c r="C143" s="5">
        <v>45537</v>
      </c>
      <c r="D143" s="21" t="s">
        <v>25</v>
      </c>
      <c r="E143" s="21" t="s">
        <v>3</v>
      </c>
      <c r="F143" s="22">
        <v>12040</v>
      </c>
      <c r="G143" s="22">
        <v>1147</v>
      </c>
      <c r="H143" s="22">
        <v>210</v>
      </c>
      <c r="I143" s="22">
        <v>885</v>
      </c>
      <c r="J143" s="22">
        <v>30360</v>
      </c>
      <c r="K143" s="22">
        <v>119530</v>
      </c>
      <c r="L143" s="21" t="s">
        <v>63</v>
      </c>
      <c r="M143" s="4">
        <v>0.1120806492094035</v>
      </c>
      <c r="N143" s="5">
        <f>_xlfn.XLOOKUP(L143,'Campaign Metadata'!$A$2:$A$6,'Campaign Metadata'!$B$2:$B$6)</f>
        <v>45458</v>
      </c>
      <c r="O143" s="5">
        <f>_xlfn.XLOOKUP(L143,'Campaign Metadata'!$A$2:$A$6,'Campaign Metadata'!$C$2:$C$6)</f>
        <v>45488</v>
      </c>
      <c r="P143" t="str">
        <f t="shared" si="2"/>
        <v>After</v>
      </c>
    </row>
    <row r="144" spans="1:16" x14ac:dyDescent="0.3">
      <c r="A144" t="s">
        <v>94</v>
      </c>
      <c r="B144" s="21" t="s">
        <v>31</v>
      </c>
      <c r="C144" s="5">
        <v>45537</v>
      </c>
      <c r="D144" s="21" t="s">
        <v>25</v>
      </c>
      <c r="E144" s="21" t="s">
        <v>12</v>
      </c>
      <c r="F144" s="22">
        <v>12040</v>
      </c>
      <c r="G144" s="22">
        <v>1147</v>
      </c>
      <c r="H144" s="22">
        <v>210</v>
      </c>
      <c r="I144" s="22">
        <v>885</v>
      </c>
      <c r="J144" s="22">
        <v>30360</v>
      </c>
      <c r="K144" s="22">
        <v>119530</v>
      </c>
      <c r="L144" s="21" t="s">
        <v>63</v>
      </c>
      <c r="M144" s="4">
        <v>0.1120806492094035</v>
      </c>
      <c r="N144" s="5">
        <f>_xlfn.XLOOKUP(L144,'Campaign Metadata'!$A$2:$A$6,'Campaign Metadata'!$B$2:$B$6)</f>
        <v>45458</v>
      </c>
      <c r="O144" s="5">
        <f>_xlfn.XLOOKUP(L144,'Campaign Metadata'!$A$2:$A$6,'Campaign Metadata'!$C$2:$C$6)</f>
        <v>45488</v>
      </c>
      <c r="P144" t="str">
        <f t="shared" si="2"/>
        <v>After</v>
      </c>
    </row>
    <row r="145" spans="1:16" x14ac:dyDescent="0.3">
      <c r="A145" t="s">
        <v>120</v>
      </c>
      <c r="B145" s="21" t="s">
        <v>29</v>
      </c>
      <c r="C145" s="5">
        <v>45537</v>
      </c>
      <c r="D145" s="21" t="s">
        <v>28</v>
      </c>
      <c r="E145" s="21" t="s">
        <v>3</v>
      </c>
      <c r="F145" s="22">
        <v>11765</v>
      </c>
      <c r="G145" s="22">
        <v>693</v>
      </c>
      <c r="H145" s="22">
        <v>729</v>
      </c>
      <c r="I145" s="22">
        <v>744</v>
      </c>
      <c r="J145" s="22">
        <v>97772</v>
      </c>
      <c r="K145" s="22">
        <v>194243</v>
      </c>
      <c r="L145" s="21" t="s">
        <v>59</v>
      </c>
      <c r="M145" s="4">
        <v>6.7889190344053579E-2</v>
      </c>
      <c r="N145" s="5">
        <f>_xlfn.XLOOKUP(L145,'Campaign Metadata'!$A$2:$A$6,'Campaign Metadata'!$B$2:$B$6)</f>
        <v>45651</v>
      </c>
      <c r="O145" s="5">
        <f>_xlfn.XLOOKUP(L145,'Campaign Metadata'!$A$2:$A$6,'Campaign Metadata'!$C$2:$C$6)</f>
        <v>45667</v>
      </c>
      <c r="P145" t="str">
        <f t="shared" si="2"/>
        <v>Before</v>
      </c>
    </row>
    <row r="146" spans="1:16" x14ac:dyDescent="0.3">
      <c r="A146" t="s">
        <v>120</v>
      </c>
      <c r="B146" s="21" t="s">
        <v>29</v>
      </c>
      <c r="C146" s="5">
        <v>45537</v>
      </c>
      <c r="D146" s="21" t="s">
        <v>28</v>
      </c>
      <c r="E146" s="21" t="s">
        <v>12</v>
      </c>
      <c r="F146" s="22">
        <v>11765</v>
      </c>
      <c r="G146" s="22">
        <v>693</v>
      </c>
      <c r="H146" s="22">
        <v>729</v>
      </c>
      <c r="I146" s="22">
        <v>744</v>
      </c>
      <c r="J146" s="22">
        <v>97772</v>
      </c>
      <c r="K146" s="22">
        <v>194243</v>
      </c>
      <c r="L146" s="21" t="s">
        <v>59</v>
      </c>
      <c r="M146" s="4">
        <v>6.7889190344053579E-2</v>
      </c>
      <c r="N146" s="5">
        <f>_xlfn.XLOOKUP(L146,'Campaign Metadata'!$A$2:$A$6,'Campaign Metadata'!$B$2:$B$6)</f>
        <v>45651</v>
      </c>
      <c r="O146" s="5">
        <f>_xlfn.XLOOKUP(L146,'Campaign Metadata'!$A$2:$A$6,'Campaign Metadata'!$C$2:$C$6)</f>
        <v>45667</v>
      </c>
      <c r="P146" t="str">
        <f t="shared" si="2"/>
        <v>Before</v>
      </c>
    </row>
    <row r="147" spans="1:16" x14ac:dyDescent="0.3">
      <c r="A147" t="s">
        <v>143</v>
      </c>
      <c r="B147" s="21" t="s">
        <v>32</v>
      </c>
      <c r="C147" s="5">
        <v>45540</v>
      </c>
      <c r="D147" s="21" t="s">
        <v>25</v>
      </c>
      <c r="E147" s="21" t="s">
        <v>17</v>
      </c>
      <c r="F147" s="22">
        <v>16489</v>
      </c>
      <c r="G147" s="22">
        <v>395</v>
      </c>
      <c r="H147" s="22">
        <v>350</v>
      </c>
      <c r="I147" s="22">
        <v>2364</v>
      </c>
      <c r="J147" s="22">
        <v>43239</v>
      </c>
      <c r="K147" s="22">
        <v>73397</v>
      </c>
      <c r="L147" s="21" t="s">
        <v>65</v>
      </c>
      <c r="M147" s="4">
        <v>0.23480523727127811</v>
      </c>
      <c r="N147" s="5">
        <f>_xlfn.XLOOKUP(L147,'Campaign Metadata'!$A$2:$A$6,'Campaign Metadata'!$B$2:$B$6)</f>
        <v>45566</v>
      </c>
      <c r="O147" s="5">
        <f>_xlfn.XLOOKUP(L147,'Campaign Metadata'!$A$2:$A$6,'Campaign Metadata'!$C$2:$C$6)</f>
        <v>45596</v>
      </c>
      <c r="P147" t="str">
        <f t="shared" si="2"/>
        <v>Before</v>
      </c>
    </row>
    <row r="148" spans="1:16" x14ac:dyDescent="0.3">
      <c r="A148" t="s">
        <v>258</v>
      </c>
      <c r="B148" s="21" t="s">
        <v>29</v>
      </c>
      <c r="C148" s="5">
        <v>45543</v>
      </c>
      <c r="D148" s="21" t="s">
        <v>25</v>
      </c>
      <c r="E148" s="21" t="s">
        <v>8</v>
      </c>
      <c r="F148" s="22">
        <v>8090</v>
      </c>
      <c r="G148" s="22">
        <v>570</v>
      </c>
      <c r="H148" s="22">
        <v>399</v>
      </c>
      <c r="I148" s="22">
        <v>1862</v>
      </c>
      <c r="J148" s="22">
        <v>34088</v>
      </c>
      <c r="K148" s="22">
        <v>52115</v>
      </c>
      <c r="L148" s="21" t="s">
        <v>59</v>
      </c>
      <c r="M148" s="4">
        <v>0.17382711311522595</v>
      </c>
      <c r="N148" s="5">
        <f>_xlfn.XLOOKUP(L148,'Campaign Metadata'!$A$2:$A$6,'Campaign Metadata'!$B$2:$B$6)</f>
        <v>45651</v>
      </c>
      <c r="O148" s="5">
        <f>_xlfn.XLOOKUP(L148,'Campaign Metadata'!$A$2:$A$6,'Campaign Metadata'!$C$2:$C$6)</f>
        <v>45667</v>
      </c>
      <c r="P148" t="str">
        <f t="shared" si="2"/>
        <v>Before</v>
      </c>
    </row>
    <row r="149" spans="1:16" x14ac:dyDescent="0.3">
      <c r="A149" t="s">
        <v>258</v>
      </c>
      <c r="B149" s="21" t="s">
        <v>29</v>
      </c>
      <c r="C149" s="5">
        <v>45543</v>
      </c>
      <c r="D149" s="21" t="s">
        <v>25</v>
      </c>
      <c r="E149" s="21" t="s">
        <v>10</v>
      </c>
      <c r="F149" s="22">
        <v>8090</v>
      </c>
      <c r="G149" s="22">
        <v>570</v>
      </c>
      <c r="H149" s="22">
        <v>399</v>
      </c>
      <c r="I149" s="22">
        <v>1862</v>
      </c>
      <c r="J149" s="22">
        <v>34088</v>
      </c>
      <c r="K149" s="22">
        <v>52115</v>
      </c>
      <c r="L149" s="21" t="s">
        <v>59</v>
      </c>
      <c r="M149" s="4">
        <v>0.17382711311522595</v>
      </c>
      <c r="N149" s="5">
        <f>_xlfn.XLOOKUP(L149,'Campaign Metadata'!$A$2:$A$6,'Campaign Metadata'!$B$2:$B$6)</f>
        <v>45651</v>
      </c>
      <c r="O149" s="5">
        <f>_xlfn.XLOOKUP(L149,'Campaign Metadata'!$A$2:$A$6,'Campaign Metadata'!$C$2:$C$6)</f>
        <v>45667</v>
      </c>
      <c r="P149" t="str">
        <f t="shared" si="2"/>
        <v>Before</v>
      </c>
    </row>
    <row r="150" spans="1:16" x14ac:dyDescent="0.3">
      <c r="A150" t="s">
        <v>242</v>
      </c>
      <c r="B150" s="21" t="s">
        <v>32</v>
      </c>
      <c r="C150" s="5">
        <v>45544</v>
      </c>
      <c r="D150" s="21" t="s">
        <v>28</v>
      </c>
      <c r="E150" s="21" t="s">
        <v>1</v>
      </c>
      <c r="F150" s="22">
        <v>6158</v>
      </c>
      <c r="G150" s="22">
        <v>277</v>
      </c>
      <c r="H150" s="22">
        <v>512</v>
      </c>
      <c r="I150" s="22">
        <v>2189</v>
      </c>
      <c r="J150" s="22">
        <v>76881</v>
      </c>
      <c r="K150" s="22">
        <v>124878</v>
      </c>
      <c r="L150" s="21" t="s">
        <v>63</v>
      </c>
      <c r="M150" s="4">
        <v>5.563029516808405E-2</v>
      </c>
      <c r="N150" s="5">
        <f>_xlfn.XLOOKUP(L150,'Campaign Metadata'!$A$2:$A$6,'Campaign Metadata'!$B$2:$B$6)</f>
        <v>45458</v>
      </c>
      <c r="O150" s="5">
        <f>_xlfn.XLOOKUP(L150,'Campaign Metadata'!$A$2:$A$6,'Campaign Metadata'!$C$2:$C$6)</f>
        <v>45488</v>
      </c>
      <c r="P150" t="str">
        <f t="shared" si="2"/>
        <v>After</v>
      </c>
    </row>
    <row r="151" spans="1:16" x14ac:dyDescent="0.3">
      <c r="A151" t="s">
        <v>242</v>
      </c>
      <c r="B151" s="21" t="s">
        <v>32</v>
      </c>
      <c r="C151" s="5">
        <v>45544</v>
      </c>
      <c r="D151" s="21" t="s">
        <v>28</v>
      </c>
      <c r="E151" s="21" t="s">
        <v>11</v>
      </c>
      <c r="F151" s="22">
        <v>6158</v>
      </c>
      <c r="G151" s="22">
        <v>277</v>
      </c>
      <c r="H151" s="22">
        <v>512</v>
      </c>
      <c r="I151" s="22">
        <v>2189</v>
      </c>
      <c r="J151" s="22">
        <v>76881</v>
      </c>
      <c r="K151" s="22">
        <v>124878</v>
      </c>
      <c r="L151" s="21" t="s">
        <v>63</v>
      </c>
      <c r="M151" s="4">
        <v>5.563029516808405E-2</v>
      </c>
      <c r="N151" s="5">
        <f>_xlfn.XLOOKUP(L151,'Campaign Metadata'!$A$2:$A$6,'Campaign Metadata'!$B$2:$B$6)</f>
        <v>45458</v>
      </c>
      <c r="O151" s="5">
        <f>_xlfn.XLOOKUP(L151,'Campaign Metadata'!$A$2:$A$6,'Campaign Metadata'!$C$2:$C$6)</f>
        <v>45488</v>
      </c>
      <c r="P151" t="str">
        <f t="shared" si="2"/>
        <v>After</v>
      </c>
    </row>
    <row r="152" spans="1:16" x14ac:dyDescent="0.3">
      <c r="A152" t="s">
        <v>199</v>
      </c>
      <c r="B152" s="21" t="s">
        <v>31</v>
      </c>
      <c r="C152" s="5">
        <v>45545</v>
      </c>
      <c r="D152" s="21" t="s">
        <v>25</v>
      </c>
      <c r="E152" s="21" t="s">
        <v>7</v>
      </c>
      <c r="F152" s="22">
        <v>6637</v>
      </c>
      <c r="G152" s="22">
        <v>595</v>
      </c>
      <c r="H152" s="22">
        <v>161</v>
      </c>
      <c r="I152" s="22">
        <v>2653</v>
      </c>
      <c r="J152" s="22">
        <v>19334</v>
      </c>
      <c r="K152" s="22">
        <v>131155</v>
      </c>
      <c r="L152" s="21" t="s">
        <v>60</v>
      </c>
      <c r="M152" s="4">
        <v>5.6368419046166747E-2</v>
      </c>
      <c r="N152" s="5">
        <f>_xlfn.XLOOKUP(L152,'Campaign Metadata'!$A$2:$A$6,'Campaign Metadata'!$B$2:$B$6)</f>
        <v>45717</v>
      </c>
      <c r="O152" s="5">
        <f>_xlfn.XLOOKUP(L152,'Campaign Metadata'!$A$2:$A$6,'Campaign Metadata'!$C$2:$C$6)</f>
        <v>45747</v>
      </c>
      <c r="P152" t="str">
        <f t="shared" si="2"/>
        <v>Before</v>
      </c>
    </row>
    <row r="153" spans="1:16" x14ac:dyDescent="0.3">
      <c r="A153" t="s">
        <v>199</v>
      </c>
      <c r="B153" s="21" t="s">
        <v>31</v>
      </c>
      <c r="C153" s="5">
        <v>45545</v>
      </c>
      <c r="D153" s="21" t="s">
        <v>25</v>
      </c>
      <c r="E153" s="21" t="s">
        <v>9</v>
      </c>
      <c r="F153" s="22">
        <v>6637</v>
      </c>
      <c r="G153" s="22">
        <v>595</v>
      </c>
      <c r="H153" s="22">
        <v>161</v>
      </c>
      <c r="I153" s="22">
        <v>2653</v>
      </c>
      <c r="J153" s="22">
        <v>19334</v>
      </c>
      <c r="K153" s="22">
        <v>131155</v>
      </c>
      <c r="L153" s="21" t="s">
        <v>60</v>
      </c>
      <c r="M153" s="4">
        <v>5.6368419046166747E-2</v>
      </c>
      <c r="N153" s="5">
        <f>_xlfn.XLOOKUP(L153,'Campaign Metadata'!$A$2:$A$6,'Campaign Metadata'!$B$2:$B$6)</f>
        <v>45717</v>
      </c>
      <c r="O153" s="5">
        <f>_xlfn.XLOOKUP(L153,'Campaign Metadata'!$A$2:$A$6,'Campaign Metadata'!$C$2:$C$6)</f>
        <v>45747</v>
      </c>
      <c r="P153" t="str">
        <f t="shared" si="2"/>
        <v>Before</v>
      </c>
    </row>
    <row r="154" spans="1:16" x14ac:dyDescent="0.3">
      <c r="A154" t="s">
        <v>296</v>
      </c>
      <c r="B154" s="21" t="s">
        <v>29</v>
      </c>
      <c r="C154" s="5">
        <v>45546</v>
      </c>
      <c r="D154" s="21" t="s">
        <v>26</v>
      </c>
      <c r="E154" s="21" t="s">
        <v>9</v>
      </c>
      <c r="F154" s="22">
        <v>3906</v>
      </c>
      <c r="G154" s="22">
        <v>1187</v>
      </c>
      <c r="H154" s="22">
        <v>589</v>
      </c>
      <c r="I154" s="22">
        <v>401</v>
      </c>
      <c r="J154" s="22">
        <v>52687</v>
      </c>
      <c r="K154" s="22">
        <v>196498</v>
      </c>
      <c r="L154" s="21" t="s">
        <v>59</v>
      </c>
      <c r="M154" s="4">
        <v>2.8916324848090057E-2</v>
      </c>
      <c r="N154" s="5">
        <f>_xlfn.XLOOKUP(L154,'Campaign Metadata'!$A$2:$A$6,'Campaign Metadata'!$B$2:$B$6)</f>
        <v>45651</v>
      </c>
      <c r="O154" s="5">
        <f>_xlfn.XLOOKUP(L154,'Campaign Metadata'!$A$2:$A$6,'Campaign Metadata'!$C$2:$C$6)</f>
        <v>45667</v>
      </c>
      <c r="P154" t="str">
        <f t="shared" si="2"/>
        <v>Before</v>
      </c>
    </row>
    <row r="155" spans="1:16" x14ac:dyDescent="0.3">
      <c r="A155" t="s">
        <v>296</v>
      </c>
      <c r="B155" s="21" t="s">
        <v>29</v>
      </c>
      <c r="C155" s="5">
        <v>45546</v>
      </c>
      <c r="D155" s="21" t="s">
        <v>26</v>
      </c>
      <c r="E155" s="21" t="s">
        <v>7</v>
      </c>
      <c r="F155" s="22">
        <v>3906</v>
      </c>
      <c r="G155" s="22">
        <v>1187</v>
      </c>
      <c r="H155" s="22">
        <v>589</v>
      </c>
      <c r="I155" s="22">
        <v>401</v>
      </c>
      <c r="J155" s="22">
        <v>52687</v>
      </c>
      <c r="K155" s="22">
        <v>196498</v>
      </c>
      <c r="L155" s="21" t="s">
        <v>59</v>
      </c>
      <c r="M155" s="4">
        <v>2.8916324848090057E-2</v>
      </c>
      <c r="N155" s="5">
        <f>_xlfn.XLOOKUP(L155,'Campaign Metadata'!$A$2:$A$6,'Campaign Metadata'!$B$2:$B$6)</f>
        <v>45651</v>
      </c>
      <c r="O155" s="5">
        <f>_xlfn.XLOOKUP(L155,'Campaign Metadata'!$A$2:$A$6,'Campaign Metadata'!$C$2:$C$6)</f>
        <v>45667</v>
      </c>
      <c r="P155" t="str">
        <f t="shared" si="2"/>
        <v>Before</v>
      </c>
    </row>
    <row r="156" spans="1:16" x14ac:dyDescent="0.3">
      <c r="A156" t="s">
        <v>92</v>
      </c>
      <c r="B156" s="21" t="s">
        <v>31</v>
      </c>
      <c r="C156" s="5">
        <v>45552</v>
      </c>
      <c r="D156" s="21" t="s">
        <v>27</v>
      </c>
      <c r="E156" s="21" t="s">
        <v>3</v>
      </c>
      <c r="F156" s="22">
        <v>20017</v>
      </c>
      <c r="G156" s="22">
        <v>495</v>
      </c>
      <c r="H156" s="22">
        <v>178</v>
      </c>
      <c r="I156" s="22">
        <v>2683</v>
      </c>
      <c r="J156" s="22">
        <v>32244</v>
      </c>
      <c r="K156" s="22">
        <v>182633</v>
      </c>
      <c r="L156" s="21" t="s">
        <v>59</v>
      </c>
      <c r="M156" s="4">
        <v>0.11328730295182141</v>
      </c>
      <c r="N156" s="5">
        <f>_xlfn.XLOOKUP(L156,'Campaign Metadata'!$A$2:$A$6,'Campaign Metadata'!$B$2:$B$6)</f>
        <v>45651</v>
      </c>
      <c r="O156" s="5">
        <f>_xlfn.XLOOKUP(L156,'Campaign Metadata'!$A$2:$A$6,'Campaign Metadata'!$C$2:$C$6)</f>
        <v>45667</v>
      </c>
      <c r="P156" t="str">
        <f t="shared" si="2"/>
        <v>Before</v>
      </c>
    </row>
    <row r="157" spans="1:16" x14ac:dyDescent="0.3">
      <c r="A157" t="s">
        <v>92</v>
      </c>
      <c r="B157" s="21" t="s">
        <v>31</v>
      </c>
      <c r="C157" s="5">
        <v>45552</v>
      </c>
      <c r="D157" s="21" t="s">
        <v>27</v>
      </c>
      <c r="E157" s="21" t="s">
        <v>14</v>
      </c>
      <c r="F157" s="22">
        <v>20017</v>
      </c>
      <c r="G157" s="22">
        <v>495</v>
      </c>
      <c r="H157" s="22">
        <v>178</v>
      </c>
      <c r="I157" s="22">
        <v>2683</v>
      </c>
      <c r="J157" s="22">
        <v>32244</v>
      </c>
      <c r="K157" s="22">
        <v>182633</v>
      </c>
      <c r="L157" s="21" t="s">
        <v>59</v>
      </c>
      <c r="M157" s="4">
        <v>0.11328730295182141</v>
      </c>
      <c r="N157" s="5">
        <f>_xlfn.XLOOKUP(L157,'Campaign Metadata'!$A$2:$A$6,'Campaign Metadata'!$B$2:$B$6)</f>
        <v>45651</v>
      </c>
      <c r="O157" s="5">
        <f>_xlfn.XLOOKUP(L157,'Campaign Metadata'!$A$2:$A$6,'Campaign Metadata'!$C$2:$C$6)</f>
        <v>45667</v>
      </c>
      <c r="P157" t="str">
        <f t="shared" si="2"/>
        <v>Before</v>
      </c>
    </row>
    <row r="158" spans="1:16" x14ac:dyDescent="0.3">
      <c r="A158" t="s">
        <v>273</v>
      </c>
      <c r="B158" s="21" t="s">
        <v>32</v>
      </c>
      <c r="C158" s="5">
        <v>45552</v>
      </c>
      <c r="D158" s="21" t="s">
        <v>28</v>
      </c>
      <c r="E158" s="21" t="s">
        <v>5</v>
      </c>
      <c r="F158" s="22">
        <v>20410</v>
      </c>
      <c r="G158" s="22">
        <v>1332</v>
      </c>
      <c r="H158" s="22">
        <v>472</v>
      </c>
      <c r="I158" s="22">
        <v>1202</v>
      </c>
      <c r="J158" s="22">
        <v>9418</v>
      </c>
      <c r="K158" s="22">
        <v>200806</v>
      </c>
      <c r="L158" s="21" t="s">
        <v>59</v>
      </c>
      <c r="M158" s="4">
        <v>0.11062418453631864</v>
      </c>
      <c r="N158" s="5">
        <f>_xlfn.XLOOKUP(L158,'Campaign Metadata'!$A$2:$A$6,'Campaign Metadata'!$B$2:$B$6)</f>
        <v>45651</v>
      </c>
      <c r="O158" s="5">
        <f>_xlfn.XLOOKUP(L158,'Campaign Metadata'!$A$2:$A$6,'Campaign Metadata'!$C$2:$C$6)</f>
        <v>45667</v>
      </c>
      <c r="P158" t="str">
        <f t="shared" si="2"/>
        <v>Before</v>
      </c>
    </row>
    <row r="159" spans="1:16" x14ac:dyDescent="0.3">
      <c r="A159" t="s">
        <v>273</v>
      </c>
      <c r="B159" s="21" t="s">
        <v>32</v>
      </c>
      <c r="C159" s="5">
        <v>45552</v>
      </c>
      <c r="D159" s="21" t="s">
        <v>28</v>
      </c>
      <c r="E159" s="21" t="s">
        <v>6</v>
      </c>
      <c r="F159" s="22">
        <v>20410</v>
      </c>
      <c r="G159" s="22">
        <v>1332</v>
      </c>
      <c r="H159" s="22">
        <v>472</v>
      </c>
      <c r="I159" s="22">
        <v>1202</v>
      </c>
      <c r="J159" s="22">
        <v>9418</v>
      </c>
      <c r="K159" s="22">
        <v>200806</v>
      </c>
      <c r="L159" s="21" t="s">
        <v>59</v>
      </c>
      <c r="M159" s="4">
        <v>0.11062418453631864</v>
      </c>
      <c r="N159" s="5">
        <f>_xlfn.XLOOKUP(L159,'Campaign Metadata'!$A$2:$A$6,'Campaign Metadata'!$B$2:$B$6)</f>
        <v>45651</v>
      </c>
      <c r="O159" s="5">
        <f>_xlfn.XLOOKUP(L159,'Campaign Metadata'!$A$2:$A$6,'Campaign Metadata'!$C$2:$C$6)</f>
        <v>45667</v>
      </c>
      <c r="P159" t="str">
        <f t="shared" si="2"/>
        <v>Before</v>
      </c>
    </row>
    <row r="160" spans="1:16" x14ac:dyDescent="0.3">
      <c r="A160" t="s">
        <v>203</v>
      </c>
      <c r="B160" s="21" t="s">
        <v>30</v>
      </c>
      <c r="C160" s="5">
        <v>45564</v>
      </c>
      <c r="D160" s="21" t="s">
        <v>25</v>
      </c>
      <c r="E160" s="21" t="s">
        <v>16</v>
      </c>
      <c r="F160" s="22">
        <v>10472</v>
      </c>
      <c r="G160" s="22">
        <v>401</v>
      </c>
      <c r="H160" s="22">
        <v>668</v>
      </c>
      <c r="I160" s="22">
        <v>383</v>
      </c>
      <c r="J160" s="22">
        <v>37571</v>
      </c>
      <c r="K160" s="22">
        <v>249203</v>
      </c>
      <c r="L160" s="21" t="s">
        <v>60</v>
      </c>
      <c r="M160" s="4">
        <v>4.6311641513143903E-2</v>
      </c>
      <c r="N160" s="5">
        <f>_xlfn.XLOOKUP(L160,'Campaign Metadata'!$A$2:$A$6,'Campaign Metadata'!$B$2:$B$6)</f>
        <v>45717</v>
      </c>
      <c r="O160" s="5">
        <f>_xlfn.XLOOKUP(L160,'Campaign Metadata'!$A$2:$A$6,'Campaign Metadata'!$C$2:$C$6)</f>
        <v>45747</v>
      </c>
      <c r="P160" t="str">
        <f t="shared" si="2"/>
        <v>Before</v>
      </c>
    </row>
    <row r="161" spans="1:16" x14ac:dyDescent="0.3">
      <c r="A161" t="s">
        <v>203</v>
      </c>
      <c r="B161" s="21" t="s">
        <v>30</v>
      </c>
      <c r="C161" s="5">
        <v>45564</v>
      </c>
      <c r="D161" s="21" t="s">
        <v>25</v>
      </c>
      <c r="E161" s="21" t="s">
        <v>4</v>
      </c>
      <c r="F161" s="22">
        <v>10472</v>
      </c>
      <c r="G161" s="22">
        <v>401</v>
      </c>
      <c r="H161" s="22">
        <v>668</v>
      </c>
      <c r="I161" s="22">
        <v>383</v>
      </c>
      <c r="J161" s="22">
        <v>37571</v>
      </c>
      <c r="K161" s="22">
        <v>249203</v>
      </c>
      <c r="L161" s="21" t="s">
        <v>60</v>
      </c>
      <c r="M161" s="4">
        <v>4.6311641513143903E-2</v>
      </c>
      <c r="N161" s="5">
        <f>_xlfn.XLOOKUP(L161,'Campaign Metadata'!$A$2:$A$6,'Campaign Metadata'!$B$2:$B$6)</f>
        <v>45717</v>
      </c>
      <c r="O161" s="5">
        <f>_xlfn.XLOOKUP(L161,'Campaign Metadata'!$A$2:$A$6,'Campaign Metadata'!$C$2:$C$6)</f>
        <v>45747</v>
      </c>
      <c r="P161" t="str">
        <f t="shared" si="2"/>
        <v>Before</v>
      </c>
    </row>
    <row r="162" spans="1:16" x14ac:dyDescent="0.3">
      <c r="A162" t="s">
        <v>187</v>
      </c>
      <c r="B162" s="21" t="s">
        <v>29</v>
      </c>
      <c r="C162" s="5">
        <v>45567</v>
      </c>
      <c r="D162" s="21" t="s">
        <v>28</v>
      </c>
      <c r="E162" s="21" t="s">
        <v>18</v>
      </c>
      <c r="F162" s="22">
        <v>9350</v>
      </c>
      <c r="G162" s="22">
        <v>1024</v>
      </c>
      <c r="H162" s="22">
        <v>550</v>
      </c>
      <c r="I162" s="22">
        <v>2123</v>
      </c>
      <c r="J162" s="22">
        <v>53916</v>
      </c>
      <c r="K162" s="22">
        <v>108785</v>
      </c>
      <c r="L162" s="21" t="s">
        <v>60</v>
      </c>
      <c r="M162" s="4">
        <v>0.10041825619340902</v>
      </c>
      <c r="N162" s="5">
        <f>_xlfn.XLOOKUP(L162,'Campaign Metadata'!$A$2:$A$6,'Campaign Metadata'!$B$2:$B$6)</f>
        <v>45717</v>
      </c>
      <c r="O162" s="5">
        <f>_xlfn.XLOOKUP(L162,'Campaign Metadata'!$A$2:$A$6,'Campaign Metadata'!$C$2:$C$6)</f>
        <v>45747</v>
      </c>
      <c r="P162" t="str">
        <f t="shared" si="2"/>
        <v>Before</v>
      </c>
    </row>
    <row r="163" spans="1:16" x14ac:dyDescent="0.3">
      <c r="A163" t="s">
        <v>187</v>
      </c>
      <c r="B163" s="21" t="s">
        <v>29</v>
      </c>
      <c r="C163" s="5">
        <v>45567</v>
      </c>
      <c r="D163" s="21" t="s">
        <v>28</v>
      </c>
      <c r="E163" s="21" t="s">
        <v>15</v>
      </c>
      <c r="F163" s="22">
        <v>9350</v>
      </c>
      <c r="G163" s="22">
        <v>1024</v>
      </c>
      <c r="H163" s="22">
        <v>550</v>
      </c>
      <c r="I163" s="22">
        <v>2123</v>
      </c>
      <c r="J163" s="22">
        <v>53916</v>
      </c>
      <c r="K163" s="22">
        <v>108785</v>
      </c>
      <c r="L163" s="21" t="s">
        <v>60</v>
      </c>
      <c r="M163" s="4">
        <v>0.10041825619340902</v>
      </c>
      <c r="N163" s="5">
        <f>_xlfn.XLOOKUP(L163,'Campaign Metadata'!$A$2:$A$6,'Campaign Metadata'!$B$2:$B$6)</f>
        <v>45717</v>
      </c>
      <c r="O163" s="5">
        <f>_xlfn.XLOOKUP(L163,'Campaign Metadata'!$A$2:$A$6,'Campaign Metadata'!$C$2:$C$6)</f>
        <v>45747</v>
      </c>
      <c r="P163" t="str">
        <f t="shared" si="2"/>
        <v>Before</v>
      </c>
    </row>
    <row r="164" spans="1:16" x14ac:dyDescent="0.3">
      <c r="A164" t="s">
        <v>182</v>
      </c>
      <c r="B164" s="21" t="s">
        <v>30</v>
      </c>
      <c r="C164" s="5">
        <v>45567</v>
      </c>
      <c r="D164" s="21" t="s">
        <v>26</v>
      </c>
      <c r="E164" s="21" t="s">
        <v>1</v>
      </c>
      <c r="F164" s="22">
        <v>15716</v>
      </c>
      <c r="G164" s="22">
        <v>839</v>
      </c>
      <c r="H164" s="22">
        <v>639</v>
      </c>
      <c r="I164" s="22">
        <v>2839</v>
      </c>
      <c r="J164" s="22">
        <v>349</v>
      </c>
      <c r="K164" s="22">
        <v>150677</v>
      </c>
      <c r="L164" s="21" t="s">
        <v>60</v>
      </c>
      <c r="M164" s="4">
        <v>0.11411164278556117</v>
      </c>
      <c r="N164" s="5">
        <f>_xlfn.XLOOKUP(L164,'Campaign Metadata'!$A$2:$A$6,'Campaign Metadata'!$B$2:$B$6)</f>
        <v>45717</v>
      </c>
      <c r="O164" s="5">
        <f>_xlfn.XLOOKUP(L164,'Campaign Metadata'!$A$2:$A$6,'Campaign Metadata'!$C$2:$C$6)</f>
        <v>45747</v>
      </c>
      <c r="P164" t="str">
        <f t="shared" si="2"/>
        <v>Before</v>
      </c>
    </row>
    <row r="165" spans="1:16" x14ac:dyDescent="0.3">
      <c r="A165" t="s">
        <v>182</v>
      </c>
      <c r="B165" s="21" t="s">
        <v>30</v>
      </c>
      <c r="C165" s="5">
        <v>45567</v>
      </c>
      <c r="D165" s="21" t="s">
        <v>26</v>
      </c>
      <c r="E165" s="21" t="s">
        <v>11</v>
      </c>
      <c r="F165" s="22">
        <v>15716</v>
      </c>
      <c r="G165" s="22">
        <v>839</v>
      </c>
      <c r="H165" s="22">
        <v>639</v>
      </c>
      <c r="I165" s="22">
        <v>2839</v>
      </c>
      <c r="J165" s="22">
        <v>349</v>
      </c>
      <c r="K165" s="22">
        <v>150677</v>
      </c>
      <c r="L165" s="21" t="s">
        <v>60</v>
      </c>
      <c r="M165" s="4">
        <v>0.11411164278556117</v>
      </c>
      <c r="N165" s="5">
        <f>_xlfn.XLOOKUP(L165,'Campaign Metadata'!$A$2:$A$6,'Campaign Metadata'!$B$2:$B$6)</f>
        <v>45717</v>
      </c>
      <c r="O165" s="5">
        <f>_xlfn.XLOOKUP(L165,'Campaign Metadata'!$A$2:$A$6,'Campaign Metadata'!$C$2:$C$6)</f>
        <v>45747</v>
      </c>
      <c r="P165" t="str">
        <f t="shared" si="2"/>
        <v>Before</v>
      </c>
    </row>
    <row r="166" spans="1:16" x14ac:dyDescent="0.3">
      <c r="A166" t="s">
        <v>178</v>
      </c>
      <c r="B166" s="21" t="s">
        <v>32</v>
      </c>
      <c r="C166" s="5">
        <v>45567</v>
      </c>
      <c r="D166" s="21" t="s">
        <v>28</v>
      </c>
      <c r="E166" s="21" t="s">
        <v>5</v>
      </c>
      <c r="F166" s="22">
        <v>5086</v>
      </c>
      <c r="G166" s="22">
        <v>1336</v>
      </c>
      <c r="H166" s="22">
        <v>897</v>
      </c>
      <c r="I166" s="22">
        <v>1715</v>
      </c>
      <c r="J166" s="22">
        <v>60592</v>
      </c>
      <c r="K166" s="22">
        <v>57772</v>
      </c>
      <c r="L166" s="21" t="s">
        <v>60</v>
      </c>
      <c r="M166" s="4">
        <v>0.12668766876687668</v>
      </c>
      <c r="N166" s="5">
        <f>_xlfn.XLOOKUP(L166,'Campaign Metadata'!$A$2:$A$6,'Campaign Metadata'!$B$2:$B$6)</f>
        <v>45717</v>
      </c>
      <c r="O166" s="5">
        <f>_xlfn.XLOOKUP(L166,'Campaign Metadata'!$A$2:$A$6,'Campaign Metadata'!$C$2:$C$6)</f>
        <v>45747</v>
      </c>
      <c r="P166" t="str">
        <f t="shared" si="2"/>
        <v>Before</v>
      </c>
    </row>
    <row r="167" spans="1:16" x14ac:dyDescent="0.3">
      <c r="A167" t="s">
        <v>178</v>
      </c>
      <c r="B167" s="21" t="s">
        <v>32</v>
      </c>
      <c r="C167" s="5">
        <v>45567</v>
      </c>
      <c r="D167" s="21" t="s">
        <v>28</v>
      </c>
      <c r="E167" s="21" t="s">
        <v>6</v>
      </c>
      <c r="F167" s="22">
        <v>5086</v>
      </c>
      <c r="G167" s="22">
        <v>1336</v>
      </c>
      <c r="H167" s="22">
        <v>897</v>
      </c>
      <c r="I167" s="22">
        <v>1715</v>
      </c>
      <c r="J167" s="22">
        <v>60592</v>
      </c>
      <c r="K167" s="22">
        <v>57772</v>
      </c>
      <c r="L167" s="21" t="s">
        <v>60</v>
      </c>
      <c r="M167" s="4">
        <v>0.12668766876687668</v>
      </c>
      <c r="N167" s="5">
        <f>_xlfn.XLOOKUP(L167,'Campaign Metadata'!$A$2:$A$6,'Campaign Metadata'!$B$2:$B$6)</f>
        <v>45717</v>
      </c>
      <c r="O167" s="5">
        <f>_xlfn.XLOOKUP(L167,'Campaign Metadata'!$A$2:$A$6,'Campaign Metadata'!$C$2:$C$6)</f>
        <v>45747</v>
      </c>
      <c r="P167" t="str">
        <f t="shared" si="2"/>
        <v>Before</v>
      </c>
    </row>
    <row r="168" spans="1:16" x14ac:dyDescent="0.3">
      <c r="A168" t="s">
        <v>97</v>
      </c>
      <c r="B168" s="21" t="s">
        <v>30</v>
      </c>
      <c r="C168" s="5">
        <v>45568</v>
      </c>
      <c r="D168" s="21" t="s">
        <v>26</v>
      </c>
      <c r="E168" s="21" t="s">
        <v>3</v>
      </c>
      <c r="F168" s="22">
        <v>22618</v>
      </c>
      <c r="G168" s="22">
        <v>641</v>
      </c>
      <c r="H168" s="22">
        <v>416</v>
      </c>
      <c r="I168" s="22">
        <v>1530</v>
      </c>
      <c r="J168" s="22">
        <v>18395</v>
      </c>
      <c r="K168" s="22">
        <v>215211</v>
      </c>
      <c r="L168" s="21" t="s">
        <v>65</v>
      </c>
      <c r="M168" s="4">
        <v>0.1100083174187193</v>
      </c>
      <c r="N168" s="5">
        <f>_xlfn.XLOOKUP(L168,'Campaign Metadata'!$A$2:$A$6,'Campaign Metadata'!$B$2:$B$6)</f>
        <v>45566</v>
      </c>
      <c r="O168" s="5">
        <f>_xlfn.XLOOKUP(L168,'Campaign Metadata'!$A$2:$A$6,'Campaign Metadata'!$C$2:$C$6)</f>
        <v>45596</v>
      </c>
      <c r="P168" t="str">
        <f t="shared" si="2"/>
        <v>During</v>
      </c>
    </row>
    <row r="169" spans="1:16" x14ac:dyDescent="0.3">
      <c r="A169" t="s">
        <v>97</v>
      </c>
      <c r="B169" s="21" t="s">
        <v>30</v>
      </c>
      <c r="C169" s="5">
        <v>45568</v>
      </c>
      <c r="D169" s="21" t="s">
        <v>26</v>
      </c>
      <c r="E169" s="21" t="s">
        <v>12</v>
      </c>
      <c r="F169" s="22">
        <v>22618</v>
      </c>
      <c r="G169" s="22">
        <v>641</v>
      </c>
      <c r="H169" s="22">
        <v>416</v>
      </c>
      <c r="I169" s="22">
        <v>1530</v>
      </c>
      <c r="J169" s="22">
        <v>18395</v>
      </c>
      <c r="K169" s="22">
        <v>215211</v>
      </c>
      <c r="L169" s="21" t="s">
        <v>65</v>
      </c>
      <c r="M169" s="4">
        <v>0.1100083174187193</v>
      </c>
      <c r="N169" s="5">
        <f>_xlfn.XLOOKUP(L169,'Campaign Metadata'!$A$2:$A$6,'Campaign Metadata'!$B$2:$B$6)</f>
        <v>45566</v>
      </c>
      <c r="O169" s="5">
        <f>_xlfn.XLOOKUP(L169,'Campaign Metadata'!$A$2:$A$6,'Campaign Metadata'!$C$2:$C$6)</f>
        <v>45596</v>
      </c>
      <c r="P169" t="str">
        <f t="shared" si="2"/>
        <v>During</v>
      </c>
    </row>
    <row r="170" spans="1:16" x14ac:dyDescent="0.3">
      <c r="A170" t="s">
        <v>213</v>
      </c>
      <c r="B170" s="21" t="s">
        <v>31</v>
      </c>
      <c r="C170" s="5">
        <v>45569</v>
      </c>
      <c r="D170" s="21" t="s">
        <v>26</v>
      </c>
      <c r="E170" s="21" t="s">
        <v>5</v>
      </c>
      <c r="F170" s="22">
        <v>21729</v>
      </c>
      <c r="G170" s="22">
        <v>1209</v>
      </c>
      <c r="H170" s="22">
        <v>897</v>
      </c>
      <c r="I170" s="22">
        <v>1624</v>
      </c>
      <c r="J170" s="22">
        <v>38771</v>
      </c>
      <c r="K170" s="22">
        <v>113297</v>
      </c>
      <c r="L170" s="21" t="s">
        <v>63</v>
      </c>
      <c r="M170" s="4">
        <v>0.21037626768581694</v>
      </c>
      <c r="N170" s="5">
        <f>_xlfn.XLOOKUP(L170,'Campaign Metadata'!$A$2:$A$6,'Campaign Metadata'!$B$2:$B$6)</f>
        <v>45458</v>
      </c>
      <c r="O170" s="5">
        <f>_xlfn.XLOOKUP(L170,'Campaign Metadata'!$A$2:$A$6,'Campaign Metadata'!$C$2:$C$6)</f>
        <v>45488</v>
      </c>
      <c r="P170" t="str">
        <f t="shared" si="2"/>
        <v>After</v>
      </c>
    </row>
    <row r="171" spans="1:16" x14ac:dyDescent="0.3">
      <c r="A171" t="s">
        <v>213</v>
      </c>
      <c r="B171" s="21" t="s">
        <v>31</v>
      </c>
      <c r="C171" s="5">
        <v>45569</v>
      </c>
      <c r="D171" s="21" t="s">
        <v>26</v>
      </c>
      <c r="E171" s="21" t="s">
        <v>6</v>
      </c>
      <c r="F171" s="22">
        <v>21729</v>
      </c>
      <c r="G171" s="22">
        <v>1209</v>
      </c>
      <c r="H171" s="22">
        <v>897</v>
      </c>
      <c r="I171" s="22">
        <v>1624</v>
      </c>
      <c r="J171" s="22">
        <v>38771</v>
      </c>
      <c r="K171" s="22">
        <v>113297</v>
      </c>
      <c r="L171" s="21" t="s">
        <v>63</v>
      </c>
      <c r="M171" s="4">
        <v>0.21037626768581694</v>
      </c>
      <c r="N171" s="5">
        <f>_xlfn.XLOOKUP(L171,'Campaign Metadata'!$A$2:$A$6,'Campaign Metadata'!$B$2:$B$6)</f>
        <v>45458</v>
      </c>
      <c r="O171" s="5">
        <f>_xlfn.XLOOKUP(L171,'Campaign Metadata'!$A$2:$A$6,'Campaign Metadata'!$C$2:$C$6)</f>
        <v>45488</v>
      </c>
      <c r="P171" t="str">
        <f t="shared" si="2"/>
        <v>After</v>
      </c>
    </row>
    <row r="172" spans="1:16" x14ac:dyDescent="0.3">
      <c r="A172" t="s">
        <v>114</v>
      </c>
      <c r="B172" s="21" t="s">
        <v>30</v>
      </c>
      <c r="C172" s="5">
        <v>45569</v>
      </c>
      <c r="D172" s="21" t="s">
        <v>28</v>
      </c>
      <c r="E172" s="21" t="s">
        <v>3</v>
      </c>
      <c r="F172" s="22">
        <v>15746</v>
      </c>
      <c r="G172" s="22">
        <v>258</v>
      </c>
      <c r="H172" s="22">
        <v>839</v>
      </c>
      <c r="I172" s="22">
        <v>2656</v>
      </c>
      <c r="J172" s="22">
        <v>66614</v>
      </c>
      <c r="K172" s="22">
        <v>213724</v>
      </c>
      <c r="L172" s="21" t="s">
        <v>60</v>
      </c>
      <c r="M172" s="4">
        <v>7.8807246729426739E-2</v>
      </c>
      <c r="N172" s="5">
        <f>_xlfn.XLOOKUP(L172,'Campaign Metadata'!$A$2:$A$6,'Campaign Metadata'!$B$2:$B$6)</f>
        <v>45717</v>
      </c>
      <c r="O172" s="5">
        <f>_xlfn.XLOOKUP(L172,'Campaign Metadata'!$A$2:$A$6,'Campaign Metadata'!$C$2:$C$6)</f>
        <v>45747</v>
      </c>
      <c r="P172" t="str">
        <f t="shared" si="2"/>
        <v>Before</v>
      </c>
    </row>
    <row r="173" spans="1:16" x14ac:dyDescent="0.3">
      <c r="A173" t="s">
        <v>114</v>
      </c>
      <c r="B173" s="21" t="s">
        <v>30</v>
      </c>
      <c r="C173" s="5">
        <v>45569</v>
      </c>
      <c r="D173" s="21" t="s">
        <v>28</v>
      </c>
      <c r="E173" s="21" t="s">
        <v>13</v>
      </c>
      <c r="F173" s="22">
        <v>15746</v>
      </c>
      <c r="G173" s="22">
        <v>258</v>
      </c>
      <c r="H173" s="22">
        <v>839</v>
      </c>
      <c r="I173" s="22">
        <v>2656</v>
      </c>
      <c r="J173" s="22">
        <v>66614</v>
      </c>
      <c r="K173" s="22">
        <v>213724</v>
      </c>
      <c r="L173" s="21" t="s">
        <v>60</v>
      </c>
      <c r="M173" s="4">
        <v>7.8807246729426739E-2</v>
      </c>
      <c r="N173" s="5">
        <f>_xlfn.XLOOKUP(L173,'Campaign Metadata'!$A$2:$A$6,'Campaign Metadata'!$B$2:$B$6)</f>
        <v>45717</v>
      </c>
      <c r="O173" s="5">
        <f>_xlfn.XLOOKUP(L173,'Campaign Metadata'!$A$2:$A$6,'Campaign Metadata'!$C$2:$C$6)</f>
        <v>45747</v>
      </c>
      <c r="P173" t="str">
        <f t="shared" si="2"/>
        <v>Before</v>
      </c>
    </row>
    <row r="174" spans="1:16" x14ac:dyDescent="0.3">
      <c r="A174" t="s">
        <v>281</v>
      </c>
      <c r="B174" s="21" t="s">
        <v>32</v>
      </c>
      <c r="C174" s="5">
        <v>45570</v>
      </c>
      <c r="D174" s="21" t="s">
        <v>25</v>
      </c>
      <c r="E174" s="21" t="s">
        <v>16</v>
      </c>
      <c r="F174" s="22">
        <v>16388</v>
      </c>
      <c r="G174" s="22">
        <v>1208</v>
      </c>
      <c r="H174" s="22">
        <v>417</v>
      </c>
      <c r="I174" s="22">
        <v>2306</v>
      </c>
      <c r="J174" s="22">
        <v>16865</v>
      </c>
      <c r="K174" s="22">
        <v>236733</v>
      </c>
      <c r="L174" s="21" t="s">
        <v>59</v>
      </c>
      <c r="M174" s="4">
        <v>7.6089940988370866E-2</v>
      </c>
      <c r="N174" s="5">
        <f>_xlfn.XLOOKUP(L174,'Campaign Metadata'!$A$2:$A$6,'Campaign Metadata'!$B$2:$B$6)</f>
        <v>45651</v>
      </c>
      <c r="O174" s="5">
        <f>_xlfn.XLOOKUP(L174,'Campaign Metadata'!$A$2:$A$6,'Campaign Metadata'!$C$2:$C$6)</f>
        <v>45667</v>
      </c>
      <c r="P174" t="str">
        <f t="shared" si="2"/>
        <v>Before</v>
      </c>
    </row>
    <row r="175" spans="1:16" x14ac:dyDescent="0.3">
      <c r="A175" t="s">
        <v>281</v>
      </c>
      <c r="B175" s="21" t="s">
        <v>32</v>
      </c>
      <c r="C175" s="5">
        <v>45570</v>
      </c>
      <c r="D175" s="21" t="s">
        <v>25</v>
      </c>
      <c r="E175" s="21" t="s">
        <v>4</v>
      </c>
      <c r="F175" s="22">
        <v>16388</v>
      </c>
      <c r="G175" s="22">
        <v>1208</v>
      </c>
      <c r="H175" s="22">
        <v>417</v>
      </c>
      <c r="I175" s="22">
        <v>2306</v>
      </c>
      <c r="J175" s="22">
        <v>16865</v>
      </c>
      <c r="K175" s="22">
        <v>236733</v>
      </c>
      <c r="L175" s="21" t="s">
        <v>59</v>
      </c>
      <c r="M175" s="4">
        <v>7.6089940988370866E-2</v>
      </c>
      <c r="N175" s="5">
        <f>_xlfn.XLOOKUP(L175,'Campaign Metadata'!$A$2:$A$6,'Campaign Metadata'!$B$2:$B$6)</f>
        <v>45651</v>
      </c>
      <c r="O175" s="5">
        <f>_xlfn.XLOOKUP(L175,'Campaign Metadata'!$A$2:$A$6,'Campaign Metadata'!$C$2:$C$6)</f>
        <v>45667</v>
      </c>
      <c r="P175" t="str">
        <f t="shared" si="2"/>
        <v>Before</v>
      </c>
    </row>
    <row r="176" spans="1:16" x14ac:dyDescent="0.3">
      <c r="A176" t="s">
        <v>238</v>
      </c>
      <c r="B176" s="21" t="s">
        <v>32</v>
      </c>
      <c r="C176" s="5">
        <v>45573</v>
      </c>
      <c r="D176" s="21" t="s">
        <v>27</v>
      </c>
      <c r="E176" s="21" t="s">
        <v>17</v>
      </c>
      <c r="F176" s="22">
        <v>8738</v>
      </c>
      <c r="G176" s="22">
        <v>295</v>
      </c>
      <c r="H176" s="22">
        <v>529</v>
      </c>
      <c r="I176" s="22">
        <v>442</v>
      </c>
      <c r="J176" s="22">
        <v>25286</v>
      </c>
      <c r="K176" s="22">
        <v>147522</v>
      </c>
      <c r="L176" s="21" t="s">
        <v>63</v>
      </c>
      <c r="M176" s="4">
        <v>6.4817450956467515E-2</v>
      </c>
      <c r="N176" s="5">
        <f>_xlfn.XLOOKUP(L176,'Campaign Metadata'!$A$2:$A$6,'Campaign Metadata'!$B$2:$B$6)</f>
        <v>45458</v>
      </c>
      <c r="O176" s="5">
        <f>_xlfn.XLOOKUP(L176,'Campaign Metadata'!$A$2:$A$6,'Campaign Metadata'!$C$2:$C$6)</f>
        <v>45488</v>
      </c>
      <c r="P176" t="str">
        <f t="shared" si="2"/>
        <v>After</v>
      </c>
    </row>
    <row r="177" spans="1:16" x14ac:dyDescent="0.3">
      <c r="A177" t="s">
        <v>121</v>
      </c>
      <c r="B177" s="21" t="s">
        <v>32</v>
      </c>
      <c r="C177" s="5">
        <v>45574</v>
      </c>
      <c r="D177" s="21" t="s">
        <v>28</v>
      </c>
      <c r="E177" s="21" t="s">
        <v>3</v>
      </c>
      <c r="F177" s="22">
        <v>7240</v>
      </c>
      <c r="G177" s="22">
        <v>1384</v>
      </c>
      <c r="H177" s="22">
        <v>954</v>
      </c>
      <c r="I177" s="22">
        <v>2335</v>
      </c>
      <c r="J177" s="22">
        <v>6757</v>
      </c>
      <c r="K177" s="22">
        <v>150448</v>
      </c>
      <c r="L177" s="21" t="s">
        <v>60</v>
      </c>
      <c r="M177" s="4">
        <v>6.3663192598106988E-2</v>
      </c>
      <c r="N177" s="5">
        <f>_xlfn.XLOOKUP(L177,'Campaign Metadata'!$A$2:$A$6,'Campaign Metadata'!$B$2:$B$6)</f>
        <v>45717</v>
      </c>
      <c r="O177" s="5">
        <f>_xlfn.XLOOKUP(L177,'Campaign Metadata'!$A$2:$A$6,'Campaign Metadata'!$C$2:$C$6)</f>
        <v>45747</v>
      </c>
      <c r="P177" t="str">
        <f t="shared" si="2"/>
        <v>Before</v>
      </c>
    </row>
    <row r="178" spans="1:16" x14ac:dyDescent="0.3">
      <c r="A178" t="s">
        <v>121</v>
      </c>
      <c r="B178" s="21" t="s">
        <v>32</v>
      </c>
      <c r="C178" s="5">
        <v>45574</v>
      </c>
      <c r="D178" s="21" t="s">
        <v>28</v>
      </c>
      <c r="E178" s="21" t="s">
        <v>14</v>
      </c>
      <c r="F178" s="22">
        <v>7240</v>
      </c>
      <c r="G178" s="22">
        <v>1384</v>
      </c>
      <c r="H178" s="22">
        <v>954</v>
      </c>
      <c r="I178" s="22">
        <v>2335</v>
      </c>
      <c r="J178" s="22">
        <v>6757</v>
      </c>
      <c r="K178" s="22">
        <v>150448</v>
      </c>
      <c r="L178" s="21" t="s">
        <v>60</v>
      </c>
      <c r="M178" s="4">
        <v>6.3663192598106988E-2</v>
      </c>
      <c r="N178" s="5">
        <f>_xlfn.XLOOKUP(L178,'Campaign Metadata'!$A$2:$A$6,'Campaign Metadata'!$B$2:$B$6)</f>
        <v>45717</v>
      </c>
      <c r="O178" s="5">
        <f>_xlfn.XLOOKUP(L178,'Campaign Metadata'!$A$2:$A$6,'Campaign Metadata'!$C$2:$C$6)</f>
        <v>45747</v>
      </c>
      <c r="P178" t="str">
        <f t="shared" si="2"/>
        <v>Before</v>
      </c>
    </row>
    <row r="179" spans="1:16" x14ac:dyDescent="0.3">
      <c r="A179" t="s">
        <v>68</v>
      </c>
      <c r="B179" s="21" t="s">
        <v>31</v>
      </c>
      <c r="C179" s="5">
        <v>45576</v>
      </c>
      <c r="D179" s="21" t="s">
        <v>25</v>
      </c>
      <c r="E179" s="21" t="s">
        <v>3</v>
      </c>
      <c r="F179" s="22">
        <v>19447</v>
      </c>
      <c r="G179" s="22">
        <v>1014</v>
      </c>
      <c r="H179" s="22">
        <v>256</v>
      </c>
      <c r="I179" s="22">
        <v>2354</v>
      </c>
      <c r="J179" s="22">
        <v>5472</v>
      </c>
      <c r="K179" s="22">
        <v>104106</v>
      </c>
      <c r="L179" s="21" t="s">
        <v>59</v>
      </c>
      <c r="M179" s="4">
        <v>0.19899909707413599</v>
      </c>
      <c r="N179" s="5">
        <f>_xlfn.XLOOKUP(L179,'Campaign Metadata'!$A$2:$A$6,'Campaign Metadata'!$B$2:$B$6)</f>
        <v>45651</v>
      </c>
      <c r="O179" s="5">
        <f>_xlfn.XLOOKUP(L179,'Campaign Metadata'!$A$2:$A$6,'Campaign Metadata'!$C$2:$C$6)</f>
        <v>45667</v>
      </c>
      <c r="P179" t="str">
        <f t="shared" si="2"/>
        <v>Before</v>
      </c>
    </row>
    <row r="180" spans="1:16" x14ac:dyDescent="0.3">
      <c r="A180" t="s">
        <v>68</v>
      </c>
      <c r="B180" s="21" t="s">
        <v>31</v>
      </c>
      <c r="C180" s="5">
        <v>45576</v>
      </c>
      <c r="D180" s="21" t="s">
        <v>25</v>
      </c>
      <c r="E180" s="21" t="s">
        <v>14</v>
      </c>
      <c r="F180" s="22">
        <v>19447</v>
      </c>
      <c r="G180" s="22">
        <v>1014</v>
      </c>
      <c r="H180" s="22">
        <v>256</v>
      </c>
      <c r="I180" s="22">
        <v>2354</v>
      </c>
      <c r="J180" s="22">
        <v>5472</v>
      </c>
      <c r="K180" s="22">
        <v>104106</v>
      </c>
      <c r="L180" s="21" t="s">
        <v>59</v>
      </c>
      <c r="M180" s="4">
        <v>0.19899909707413599</v>
      </c>
      <c r="N180" s="5">
        <f>_xlfn.XLOOKUP(L180,'Campaign Metadata'!$A$2:$A$6,'Campaign Metadata'!$B$2:$B$6)</f>
        <v>45651</v>
      </c>
      <c r="O180" s="5">
        <f>_xlfn.XLOOKUP(L180,'Campaign Metadata'!$A$2:$A$6,'Campaign Metadata'!$C$2:$C$6)</f>
        <v>45667</v>
      </c>
      <c r="P180" t="str">
        <f t="shared" si="2"/>
        <v>Before</v>
      </c>
    </row>
    <row r="181" spans="1:16" x14ac:dyDescent="0.3">
      <c r="A181" t="s">
        <v>294</v>
      </c>
      <c r="B181" s="21" t="s">
        <v>30</v>
      </c>
      <c r="C181" s="5">
        <v>45577</v>
      </c>
      <c r="D181" s="21" t="s">
        <v>26</v>
      </c>
      <c r="E181" s="21" t="s">
        <v>19</v>
      </c>
      <c r="F181" s="22">
        <v>6208</v>
      </c>
      <c r="G181" s="22">
        <v>725</v>
      </c>
      <c r="H181" s="22">
        <v>309</v>
      </c>
      <c r="I181" s="22">
        <v>848</v>
      </c>
      <c r="J181" s="22">
        <v>39319</v>
      </c>
      <c r="K181" s="22">
        <v>225763</v>
      </c>
      <c r="L181" s="21" t="s">
        <v>59</v>
      </c>
      <c r="M181" s="4">
        <v>3.207788698768177E-2</v>
      </c>
      <c r="N181" s="5">
        <f>_xlfn.XLOOKUP(L181,'Campaign Metadata'!$A$2:$A$6,'Campaign Metadata'!$B$2:$B$6)</f>
        <v>45651</v>
      </c>
      <c r="O181" s="5">
        <f>_xlfn.XLOOKUP(L181,'Campaign Metadata'!$A$2:$A$6,'Campaign Metadata'!$C$2:$C$6)</f>
        <v>45667</v>
      </c>
      <c r="P181" t="str">
        <f t="shared" si="2"/>
        <v>Before</v>
      </c>
    </row>
    <row r="182" spans="1:16" x14ac:dyDescent="0.3">
      <c r="A182" t="s">
        <v>294</v>
      </c>
      <c r="B182" s="21" t="s">
        <v>30</v>
      </c>
      <c r="C182" s="5">
        <v>45577</v>
      </c>
      <c r="D182" s="21" t="s">
        <v>26</v>
      </c>
      <c r="E182" s="21" t="s">
        <v>2</v>
      </c>
      <c r="F182" s="22">
        <v>6208</v>
      </c>
      <c r="G182" s="22">
        <v>725</v>
      </c>
      <c r="H182" s="22">
        <v>309</v>
      </c>
      <c r="I182" s="22">
        <v>848</v>
      </c>
      <c r="J182" s="22">
        <v>39319</v>
      </c>
      <c r="K182" s="22">
        <v>225763</v>
      </c>
      <c r="L182" s="21" t="s">
        <v>59</v>
      </c>
      <c r="M182" s="4">
        <v>3.207788698768177E-2</v>
      </c>
      <c r="N182" s="5">
        <f>_xlfn.XLOOKUP(L182,'Campaign Metadata'!$A$2:$A$6,'Campaign Metadata'!$B$2:$B$6)</f>
        <v>45651</v>
      </c>
      <c r="O182" s="5">
        <f>_xlfn.XLOOKUP(L182,'Campaign Metadata'!$A$2:$A$6,'Campaign Metadata'!$C$2:$C$6)</f>
        <v>45667</v>
      </c>
      <c r="P182" t="str">
        <f t="shared" si="2"/>
        <v>Before</v>
      </c>
    </row>
    <row r="183" spans="1:16" x14ac:dyDescent="0.3">
      <c r="A183" t="s">
        <v>211</v>
      </c>
      <c r="B183" s="21" t="s">
        <v>29</v>
      </c>
      <c r="C183" s="5">
        <v>45580</v>
      </c>
      <c r="D183" s="21" t="s">
        <v>25</v>
      </c>
      <c r="E183" s="21" t="s">
        <v>18</v>
      </c>
      <c r="F183" s="22">
        <v>17781</v>
      </c>
      <c r="G183" s="22">
        <v>993</v>
      </c>
      <c r="H183" s="22">
        <v>627</v>
      </c>
      <c r="I183" s="22">
        <v>2187</v>
      </c>
      <c r="J183" s="22">
        <v>9609</v>
      </c>
      <c r="K183" s="22">
        <v>66155</v>
      </c>
      <c r="L183" s="21" t="s">
        <v>63</v>
      </c>
      <c r="M183" s="4">
        <v>0.29326581513113142</v>
      </c>
      <c r="N183" s="5">
        <f>_xlfn.XLOOKUP(L183,'Campaign Metadata'!$A$2:$A$6,'Campaign Metadata'!$B$2:$B$6)</f>
        <v>45458</v>
      </c>
      <c r="O183" s="5">
        <f>_xlfn.XLOOKUP(L183,'Campaign Metadata'!$A$2:$A$6,'Campaign Metadata'!$C$2:$C$6)</f>
        <v>45488</v>
      </c>
      <c r="P183" t="str">
        <f t="shared" si="2"/>
        <v>After</v>
      </c>
    </row>
    <row r="184" spans="1:16" x14ac:dyDescent="0.3">
      <c r="A184" t="s">
        <v>264</v>
      </c>
      <c r="B184" s="21" t="s">
        <v>31</v>
      </c>
      <c r="C184" s="5">
        <v>45582</v>
      </c>
      <c r="D184" s="21" t="s">
        <v>28</v>
      </c>
      <c r="E184" s="21" t="s">
        <v>1</v>
      </c>
      <c r="F184" s="22">
        <v>18608</v>
      </c>
      <c r="G184" s="22">
        <v>1338</v>
      </c>
      <c r="H184" s="22">
        <v>365</v>
      </c>
      <c r="I184" s="22">
        <v>2289</v>
      </c>
      <c r="J184" s="22">
        <v>20785</v>
      </c>
      <c r="K184" s="22">
        <v>161999</v>
      </c>
      <c r="L184" s="21" t="s">
        <v>59</v>
      </c>
      <c r="M184" s="4">
        <v>0.12537731714393299</v>
      </c>
      <c r="N184" s="5">
        <f>_xlfn.XLOOKUP(L184,'Campaign Metadata'!$A$2:$A$6,'Campaign Metadata'!$B$2:$B$6)</f>
        <v>45651</v>
      </c>
      <c r="O184" s="5">
        <f>_xlfn.XLOOKUP(L184,'Campaign Metadata'!$A$2:$A$6,'Campaign Metadata'!$C$2:$C$6)</f>
        <v>45667</v>
      </c>
      <c r="P184" t="str">
        <f t="shared" si="2"/>
        <v>Before</v>
      </c>
    </row>
    <row r="185" spans="1:16" x14ac:dyDescent="0.3">
      <c r="A185" t="s">
        <v>264</v>
      </c>
      <c r="B185" s="21" t="s">
        <v>31</v>
      </c>
      <c r="C185" s="5">
        <v>45582</v>
      </c>
      <c r="D185" s="21" t="s">
        <v>28</v>
      </c>
      <c r="E185" s="21" t="s">
        <v>11</v>
      </c>
      <c r="F185" s="22">
        <v>18608</v>
      </c>
      <c r="G185" s="22">
        <v>1338</v>
      </c>
      <c r="H185" s="22">
        <v>365</v>
      </c>
      <c r="I185" s="22">
        <v>2289</v>
      </c>
      <c r="J185" s="22">
        <v>20785</v>
      </c>
      <c r="K185" s="22">
        <v>161999</v>
      </c>
      <c r="L185" s="21" t="s">
        <v>59</v>
      </c>
      <c r="M185" s="4">
        <v>0.12537731714393299</v>
      </c>
      <c r="N185" s="5">
        <f>_xlfn.XLOOKUP(L185,'Campaign Metadata'!$A$2:$A$6,'Campaign Metadata'!$B$2:$B$6)</f>
        <v>45651</v>
      </c>
      <c r="O185" s="5">
        <f>_xlfn.XLOOKUP(L185,'Campaign Metadata'!$A$2:$A$6,'Campaign Metadata'!$C$2:$C$6)</f>
        <v>45667</v>
      </c>
      <c r="P185" t="str">
        <f t="shared" si="2"/>
        <v>Before</v>
      </c>
    </row>
    <row r="186" spans="1:16" x14ac:dyDescent="0.3">
      <c r="A186" t="s">
        <v>158</v>
      </c>
      <c r="B186" s="21" t="s">
        <v>32</v>
      </c>
      <c r="C186" s="5">
        <v>45583</v>
      </c>
      <c r="D186" s="21" t="s">
        <v>25</v>
      </c>
      <c r="E186" s="21" t="s">
        <v>4</v>
      </c>
      <c r="F186" s="22">
        <v>6892</v>
      </c>
      <c r="G186" s="22">
        <v>1184</v>
      </c>
      <c r="H186" s="22">
        <v>925</v>
      </c>
      <c r="I186" s="22">
        <v>1062</v>
      </c>
      <c r="J186" s="22">
        <v>75008</v>
      </c>
      <c r="K186" s="22">
        <v>116260</v>
      </c>
      <c r="L186" s="21" t="s">
        <v>65</v>
      </c>
      <c r="M186" s="4">
        <v>7.7421297092723204E-2</v>
      </c>
      <c r="N186" s="5">
        <f>_xlfn.XLOOKUP(L186,'Campaign Metadata'!$A$2:$A$6,'Campaign Metadata'!$B$2:$B$6)</f>
        <v>45566</v>
      </c>
      <c r="O186" s="5">
        <f>_xlfn.XLOOKUP(L186,'Campaign Metadata'!$A$2:$A$6,'Campaign Metadata'!$C$2:$C$6)</f>
        <v>45596</v>
      </c>
      <c r="P186" t="str">
        <f t="shared" si="2"/>
        <v>During</v>
      </c>
    </row>
    <row r="187" spans="1:16" x14ac:dyDescent="0.3">
      <c r="A187" t="s">
        <v>158</v>
      </c>
      <c r="B187" s="21" t="s">
        <v>32</v>
      </c>
      <c r="C187" s="5">
        <v>45583</v>
      </c>
      <c r="D187" s="21" t="s">
        <v>25</v>
      </c>
      <c r="E187" s="21" t="s">
        <v>16</v>
      </c>
      <c r="F187" s="22">
        <v>6892</v>
      </c>
      <c r="G187" s="22">
        <v>1184</v>
      </c>
      <c r="H187" s="22">
        <v>925</v>
      </c>
      <c r="I187" s="22">
        <v>1062</v>
      </c>
      <c r="J187" s="22">
        <v>75008</v>
      </c>
      <c r="K187" s="22">
        <v>116260</v>
      </c>
      <c r="L187" s="21" t="s">
        <v>65</v>
      </c>
      <c r="M187" s="4">
        <v>7.7421297092723204E-2</v>
      </c>
      <c r="N187" s="5">
        <f>_xlfn.XLOOKUP(L187,'Campaign Metadata'!$A$2:$A$6,'Campaign Metadata'!$B$2:$B$6)</f>
        <v>45566</v>
      </c>
      <c r="O187" s="5">
        <f>_xlfn.XLOOKUP(L187,'Campaign Metadata'!$A$2:$A$6,'Campaign Metadata'!$C$2:$C$6)</f>
        <v>45596</v>
      </c>
      <c r="P187" t="str">
        <f t="shared" si="2"/>
        <v>During</v>
      </c>
    </row>
    <row r="188" spans="1:16" x14ac:dyDescent="0.3">
      <c r="A188" t="s">
        <v>123</v>
      </c>
      <c r="B188" s="21" t="s">
        <v>32</v>
      </c>
      <c r="C188" s="5">
        <v>45584</v>
      </c>
      <c r="D188" s="21" t="s">
        <v>25</v>
      </c>
      <c r="E188" s="21" t="s">
        <v>3</v>
      </c>
      <c r="F188" s="22">
        <v>6673</v>
      </c>
      <c r="G188" s="22">
        <v>826</v>
      </c>
      <c r="H188" s="22">
        <v>321</v>
      </c>
      <c r="I188" s="22">
        <v>577</v>
      </c>
      <c r="J188" s="22">
        <v>19262</v>
      </c>
      <c r="K188" s="22">
        <v>132324</v>
      </c>
      <c r="L188" s="21" t="s">
        <v>65</v>
      </c>
      <c r="M188" s="4">
        <v>5.9097367068710133E-2</v>
      </c>
      <c r="N188" s="5">
        <f>_xlfn.XLOOKUP(L188,'Campaign Metadata'!$A$2:$A$6,'Campaign Metadata'!$B$2:$B$6)</f>
        <v>45566</v>
      </c>
      <c r="O188" s="5">
        <f>_xlfn.XLOOKUP(L188,'Campaign Metadata'!$A$2:$A$6,'Campaign Metadata'!$C$2:$C$6)</f>
        <v>45596</v>
      </c>
      <c r="P188" t="str">
        <f t="shared" si="2"/>
        <v>During</v>
      </c>
    </row>
    <row r="189" spans="1:16" x14ac:dyDescent="0.3">
      <c r="A189" t="s">
        <v>123</v>
      </c>
      <c r="B189" s="21" t="s">
        <v>32</v>
      </c>
      <c r="C189" s="5">
        <v>45584</v>
      </c>
      <c r="D189" s="21" t="s">
        <v>25</v>
      </c>
      <c r="E189" s="21" t="s">
        <v>12</v>
      </c>
      <c r="F189" s="22">
        <v>6673</v>
      </c>
      <c r="G189" s="22">
        <v>826</v>
      </c>
      <c r="H189" s="22">
        <v>321</v>
      </c>
      <c r="I189" s="22">
        <v>577</v>
      </c>
      <c r="J189" s="22">
        <v>19262</v>
      </c>
      <c r="K189" s="22">
        <v>132324</v>
      </c>
      <c r="L189" s="21" t="s">
        <v>65</v>
      </c>
      <c r="M189" s="4">
        <v>5.9097367068710133E-2</v>
      </c>
      <c r="N189" s="5">
        <f>_xlfn.XLOOKUP(L189,'Campaign Metadata'!$A$2:$A$6,'Campaign Metadata'!$B$2:$B$6)</f>
        <v>45566</v>
      </c>
      <c r="O189" s="5">
        <f>_xlfn.XLOOKUP(L189,'Campaign Metadata'!$A$2:$A$6,'Campaign Metadata'!$C$2:$C$6)</f>
        <v>45596</v>
      </c>
      <c r="P189" t="str">
        <f t="shared" si="2"/>
        <v>During</v>
      </c>
    </row>
    <row r="190" spans="1:16" x14ac:dyDescent="0.3">
      <c r="A190" t="s">
        <v>109</v>
      </c>
      <c r="B190" s="21" t="s">
        <v>30</v>
      </c>
      <c r="C190" s="5">
        <v>45586</v>
      </c>
      <c r="D190" s="21" t="s">
        <v>28</v>
      </c>
      <c r="E190" s="21" t="s">
        <v>3</v>
      </c>
      <c r="F190" s="22">
        <v>12015</v>
      </c>
      <c r="G190" s="22">
        <v>1196</v>
      </c>
      <c r="H190" s="22">
        <v>998</v>
      </c>
      <c r="I190" s="22">
        <v>1848</v>
      </c>
      <c r="J190" s="22">
        <v>44739</v>
      </c>
      <c r="K190" s="22">
        <v>161750</v>
      </c>
      <c r="L190" s="21" t="s">
        <v>65</v>
      </c>
      <c r="M190" s="4">
        <v>8.7845440494590421E-2</v>
      </c>
      <c r="N190" s="5">
        <f>_xlfn.XLOOKUP(L190,'Campaign Metadata'!$A$2:$A$6,'Campaign Metadata'!$B$2:$B$6)</f>
        <v>45566</v>
      </c>
      <c r="O190" s="5">
        <f>_xlfn.XLOOKUP(L190,'Campaign Metadata'!$A$2:$A$6,'Campaign Metadata'!$C$2:$C$6)</f>
        <v>45596</v>
      </c>
      <c r="P190" t="str">
        <f t="shared" si="2"/>
        <v>During</v>
      </c>
    </row>
    <row r="191" spans="1:16" x14ac:dyDescent="0.3">
      <c r="A191" t="s">
        <v>109</v>
      </c>
      <c r="B191" s="21" t="s">
        <v>30</v>
      </c>
      <c r="C191" s="5">
        <v>45586</v>
      </c>
      <c r="D191" s="21" t="s">
        <v>28</v>
      </c>
      <c r="E191" s="21" t="s">
        <v>13</v>
      </c>
      <c r="F191" s="22">
        <v>12015</v>
      </c>
      <c r="G191" s="22">
        <v>1196</v>
      </c>
      <c r="H191" s="22">
        <v>998</v>
      </c>
      <c r="I191" s="22">
        <v>1848</v>
      </c>
      <c r="J191" s="22">
        <v>44739</v>
      </c>
      <c r="K191" s="22">
        <v>161750</v>
      </c>
      <c r="L191" s="21" t="s">
        <v>65</v>
      </c>
      <c r="M191" s="4">
        <v>8.7845440494590421E-2</v>
      </c>
      <c r="N191" s="5">
        <f>_xlfn.XLOOKUP(L191,'Campaign Metadata'!$A$2:$A$6,'Campaign Metadata'!$B$2:$B$6)</f>
        <v>45566</v>
      </c>
      <c r="O191" s="5">
        <f>_xlfn.XLOOKUP(L191,'Campaign Metadata'!$A$2:$A$6,'Campaign Metadata'!$C$2:$C$6)</f>
        <v>45596</v>
      </c>
      <c r="P191" t="str">
        <f t="shared" si="2"/>
        <v>During</v>
      </c>
    </row>
    <row r="192" spans="1:16" x14ac:dyDescent="0.3">
      <c r="A192" t="s">
        <v>270</v>
      </c>
      <c r="B192" s="21" t="s">
        <v>30</v>
      </c>
      <c r="C192" s="5">
        <v>45586</v>
      </c>
      <c r="D192" s="21" t="s">
        <v>27</v>
      </c>
      <c r="E192" s="21" t="s">
        <v>16</v>
      </c>
      <c r="F192" s="22">
        <v>19715</v>
      </c>
      <c r="G192" s="22">
        <v>1014</v>
      </c>
      <c r="H192" s="22">
        <v>718</v>
      </c>
      <c r="I192" s="22">
        <v>1185</v>
      </c>
      <c r="J192" s="22">
        <v>37625</v>
      </c>
      <c r="K192" s="22">
        <v>191409</v>
      </c>
      <c r="L192" s="21" t="s">
        <v>59</v>
      </c>
      <c r="M192" s="4">
        <v>0.11204802282024356</v>
      </c>
      <c r="N192" s="5">
        <f>_xlfn.XLOOKUP(L192,'Campaign Metadata'!$A$2:$A$6,'Campaign Metadata'!$B$2:$B$6)</f>
        <v>45651</v>
      </c>
      <c r="O192" s="5">
        <f>_xlfn.XLOOKUP(L192,'Campaign Metadata'!$A$2:$A$6,'Campaign Metadata'!$C$2:$C$6)</f>
        <v>45667</v>
      </c>
      <c r="P192" t="str">
        <f t="shared" si="2"/>
        <v>Before</v>
      </c>
    </row>
    <row r="193" spans="1:16" x14ac:dyDescent="0.3">
      <c r="A193" t="s">
        <v>270</v>
      </c>
      <c r="B193" s="21" t="s">
        <v>30</v>
      </c>
      <c r="C193" s="5">
        <v>45586</v>
      </c>
      <c r="D193" s="21" t="s">
        <v>27</v>
      </c>
      <c r="E193" s="21" t="s">
        <v>4</v>
      </c>
      <c r="F193" s="22">
        <v>19715</v>
      </c>
      <c r="G193" s="22">
        <v>1014</v>
      </c>
      <c r="H193" s="22">
        <v>718</v>
      </c>
      <c r="I193" s="22">
        <v>1185</v>
      </c>
      <c r="J193" s="22">
        <v>37625</v>
      </c>
      <c r="K193" s="22">
        <v>191409</v>
      </c>
      <c r="L193" s="21" t="s">
        <v>59</v>
      </c>
      <c r="M193" s="4">
        <v>0.11204802282024356</v>
      </c>
      <c r="N193" s="5">
        <f>_xlfn.XLOOKUP(L193,'Campaign Metadata'!$A$2:$A$6,'Campaign Metadata'!$B$2:$B$6)</f>
        <v>45651</v>
      </c>
      <c r="O193" s="5">
        <f>_xlfn.XLOOKUP(L193,'Campaign Metadata'!$A$2:$A$6,'Campaign Metadata'!$C$2:$C$6)</f>
        <v>45667</v>
      </c>
      <c r="P193" t="str">
        <f t="shared" si="2"/>
        <v>Before</v>
      </c>
    </row>
    <row r="194" spans="1:16" x14ac:dyDescent="0.3">
      <c r="A194" t="s">
        <v>127</v>
      </c>
      <c r="B194" s="21" t="s">
        <v>29</v>
      </c>
      <c r="C194" s="5">
        <v>45586</v>
      </c>
      <c r="D194" s="21" t="s">
        <v>28</v>
      </c>
      <c r="E194" s="21" t="s">
        <v>3</v>
      </c>
      <c r="F194" s="22">
        <v>8254</v>
      </c>
      <c r="G194" s="22">
        <v>1405</v>
      </c>
      <c r="H194" s="22">
        <v>165</v>
      </c>
      <c r="I194" s="22">
        <v>2504</v>
      </c>
      <c r="J194" s="22">
        <v>8081</v>
      </c>
      <c r="K194" s="22">
        <v>177710</v>
      </c>
      <c r="L194" s="21" t="s">
        <v>59</v>
      </c>
      <c r="M194" s="4">
        <v>5.5281075910190762E-2</v>
      </c>
      <c r="N194" s="5">
        <f>_xlfn.XLOOKUP(L194,'Campaign Metadata'!$A$2:$A$6,'Campaign Metadata'!$B$2:$B$6)</f>
        <v>45651</v>
      </c>
      <c r="O194" s="5">
        <f>_xlfn.XLOOKUP(L194,'Campaign Metadata'!$A$2:$A$6,'Campaign Metadata'!$C$2:$C$6)</f>
        <v>45667</v>
      </c>
      <c r="P194" t="str">
        <f t="shared" si="2"/>
        <v>Before</v>
      </c>
    </row>
    <row r="195" spans="1:16" x14ac:dyDescent="0.3">
      <c r="A195" t="s">
        <v>127</v>
      </c>
      <c r="B195" s="21" t="s">
        <v>29</v>
      </c>
      <c r="C195" s="5">
        <v>45586</v>
      </c>
      <c r="D195" s="21" t="s">
        <v>28</v>
      </c>
      <c r="E195" s="21" t="s">
        <v>12</v>
      </c>
      <c r="F195" s="22">
        <v>8254</v>
      </c>
      <c r="G195" s="22">
        <v>1405</v>
      </c>
      <c r="H195" s="22">
        <v>165</v>
      </c>
      <c r="I195" s="22">
        <v>2504</v>
      </c>
      <c r="J195" s="22">
        <v>8081</v>
      </c>
      <c r="K195" s="22">
        <v>177710</v>
      </c>
      <c r="L195" s="21" t="s">
        <v>59</v>
      </c>
      <c r="M195" s="4">
        <v>5.5281075910190762E-2</v>
      </c>
      <c r="N195" s="5">
        <f>_xlfn.XLOOKUP(L195,'Campaign Metadata'!$A$2:$A$6,'Campaign Metadata'!$B$2:$B$6)</f>
        <v>45651</v>
      </c>
      <c r="O195" s="5">
        <f>_xlfn.XLOOKUP(L195,'Campaign Metadata'!$A$2:$A$6,'Campaign Metadata'!$C$2:$C$6)</f>
        <v>45667</v>
      </c>
      <c r="P195" t="str">
        <f t="shared" ref="P195:P258" si="3">IF(C195&lt;N195, "Before", IF(C195&gt;O195, "After", "During"))</f>
        <v>Before</v>
      </c>
    </row>
    <row r="196" spans="1:16" x14ac:dyDescent="0.3">
      <c r="A196" t="s">
        <v>89</v>
      </c>
      <c r="B196" s="21" t="s">
        <v>30</v>
      </c>
      <c r="C196" s="5">
        <v>45586</v>
      </c>
      <c r="D196" s="21" t="s">
        <v>26</v>
      </c>
      <c r="E196" s="21" t="s">
        <v>3</v>
      </c>
      <c r="F196" s="22">
        <v>20271</v>
      </c>
      <c r="G196" s="22">
        <v>512</v>
      </c>
      <c r="H196" s="22">
        <v>286</v>
      </c>
      <c r="I196" s="22">
        <v>1982</v>
      </c>
      <c r="J196" s="22">
        <v>43225</v>
      </c>
      <c r="K196" s="22">
        <v>168335</v>
      </c>
      <c r="L196" s="21" t="s">
        <v>63</v>
      </c>
      <c r="M196" s="4">
        <v>0.12516113701844536</v>
      </c>
      <c r="N196" s="5">
        <f>_xlfn.XLOOKUP(L196,'Campaign Metadata'!$A$2:$A$6,'Campaign Metadata'!$B$2:$B$6)</f>
        <v>45458</v>
      </c>
      <c r="O196" s="5">
        <f>_xlfn.XLOOKUP(L196,'Campaign Metadata'!$A$2:$A$6,'Campaign Metadata'!$C$2:$C$6)</f>
        <v>45488</v>
      </c>
      <c r="P196" t="str">
        <f t="shared" si="3"/>
        <v>After</v>
      </c>
    </row>
    <row r="197" spans="1:16" x14ac:dyDescent="0.3">
      <c r="A197" t="s">
        <v>89</v>
      </c>
      <c r="B197" s="21" t="s">
        <v>30</v>
      </c>
      <c r="C197" s="5">
        <v>45586</v>
      </c>
      <c r="D197" s="21" t="s">
        <v>26</v>
      </c>
      <c r="E197" s="21" t="s">
        <v>14</v>
      </c>
      <c r="F197" s="22">
        <v>20271</v>
      </c>
      <c r="G197" s="22">
        <v>512</v>
      </c>
      <c r="H197" s="22">
        <v>286</v>
      </c>
      <c r="I197" s="22">
        <v>1982</v>
      </c>
      <c r="J197" s="22">
        <v>43225</v>
      </c>
      <c r="K197" s="22">
        <v>168335</v>
      </c>
      <c r="L197" s="21" t="s">
        <v>63</v>
      </c>
      <c r="M197" s="4">
        <v>0.12516113701844536</v>
      </c>
      <c r="N197" s="5">
        <f>_xlfn.XLOOKUP(L197,'Campaign Metadata'!$A$2:$A$6,'Campaign Metadata'!$B$2:$B$6)</f>
        <v>45458</v>
      </c>
      <c r="O197" s="5">
        <f>_xlfn.XLOOKUP(L197,'Campaign Metadata'!$A$2:$A$6,'Campaign Metadata'!$C$2:$C$6)</f>
        <v>45488</v>
      </c>
      <c r="P197" t="str">
        <f t="shared" si="3"/>
        <v>After</v>
      </c>
    </row>
    <row r="198" spans="1:16" x14ac:dyDescent="0.3">
      <c r="A198" t="s">
        <v>82</v>
      </c>
      <c r="B198" s="21" t="s">
        <v>32</v>
      </c>
      <c r="C198" s="5">
        <v>45586</v>
      </c>
      <c r="D198" s="21" t="s">
        <v>27</v>
      </c>
      <c r="E198" s="21" t="s">
        <v>3</v>
      </c>
      <c r="F198" s="22">
        <v>20777</v>
      </c>
      <c r="G198" s="22">
        <v>962</v>
      </c>
      <c r="H198" s="22">
        <v>308</v>
      </c>
      <c r="I198" s="22">
        <v>2777</v>
      </c>
      <c r="J198" s="22">
        <v>25529</v>
      </c>
      <c r="K198" s="22">
        <v>165354</v>
      </c>
      <c r="L198" s="21" t="s">
        <v>59</v>
      </c>
      <c r="M198" s="4">
        <v>0.13333212380710477</v>
      </c>
      <c r="N198" s="5">
        <f>_xlfn.XLOOKUP(L198,'Campaign Metadata'!$A$2:$A$6,'Campaign Metadata'!$B$2:$B$6)</f>
        <v>45651</v>
      </c>
      <c r="O198" s="5">
        <f>_xlfn.XLOOKUP(L198,'Campaign Metadata'!$A$2:$A$6,'Campaign Metadata'!$C$2:$C$6)</f>
        <v>45667</v>
      </c>
      <c r="P198" t="str">
        <f t="shared" si="3"/>
        <v>Before</v>
      </c>
    </row>
    <row r="199" spans="1:16" x14ac:dyDescent="0.3">
      <c r="A199" t="s">
        <v>82</v>
      </c>
      <c r="B199" s="21" t="s">
        <v>32</v>
      </c>
      <c r="C199" s="5">
        <v>45586</v>
      </c>
      <c r="D199" s="21" t="s">
        <v>27</v>
      </c>
      <c r="E199" s="21" t="s">
        <v>14</v>
      </c>
      <c r="F199" s="22">
        <v>20777</v>
      </c>
      <c r="G199" s="22">
        <v>962</v>
      </c>
      <c r="H199" s="22">
        <v>308</v>
      </c>
      <c r="I199" s="22">
        <v>2777</v>
      </c>
      <c r="J199" s="22">
        <v>25529</v>
      </c>
      <c r="K199" s="22">
        <v>165354</v>
      </c>
      <c r="L199" s="21" t="s">
        <v>59</v>
      </c>
      <c r="M199" s="4">
        <v>0.13333212380710477</v>
      </c>
      <c r="N199" s="5">
        <f>_xlfn.XLOOKUP(L199,'Campaign Metadata'!$A$2:$A$6,'Campaign Metadata'!$B$2:$B$6)</f>
        <v>45651</v>
      </c>
      <c r="O199" s="5">
        <f>_xlfn.XLOOKUP(L199,'Campaign Metadata'!$A$2:$A$6,'Campaign Metadata'!$C$2:$C$6)</f>
        <v>45667</v>
      </c>
      <c r="P199" t="str">
        <f t="shared" si="3"/>
        <v>Before</v>
      </c>
    </row>
    <row r="200" spans="1:16" x14ac:dyDescent="0.3">
      <c r="A200" t="s">
        <v>239</v>
      </c>
      <c r="B200" s="21" t="s">
        <v>31</v>
      </c>
      <c r="C200" s="5">
        <v>45587</v>
      </c>
      <c r="D200" s="21" t="s">
        <v>27</v>
      </c>
      <c r="E200" s="21" t="s">
        <v>5</v>
      </c>
      <c r="F200" s="22">
        <v>12478</v>
      </c>
      <c r="G200" s="22">
        <v>484</v>
      </c>
      <c r="H200" s="22">
        <v>332</v>
      </c>
      <c r="I200" s="22">
        <v>2734</v>
      </c>
      <c r="J200" s="22">
        <v>43338</v>
      </c>
      <c r="K200" s="22">
        <v>213895</v>
      </c>
      <c r="L200" s="21" t="s">
        <v>63</v>
      </c>
      <c r="M200" s="4">
        <v>6.2151990462610156E-2</v>
      </c>
      <c r="N200" s="5">
        <f>_xlfn.XLOOKUP(L200,'Campaign Metadata'!$A$2:$A$6,'Campaign Metadata'!$B$2:$B$6)</f>
        <v>45458</v>
      </c>
      <c r="O200" s="5">
        <f>_xlfn.XLOOKUP(L200,'Campaign Metadata'!$A$2:$A$6,'Campaign Metadata'!$C$2:$C$6)</f>
        <v>45488</v>
      </c>
      <c r="P200" t="str">
        <f t="shared" si="3"/>
        <v>After</v>
      </c>
    </row>
    <row r="201" spans="1:16" x14ac:dyDescent="0.3">
      <c r="A201" t="s">
        <v>239</v>
      </c>
      <c r="B201" s="21" t="s">
        <v>31</v>
      </c>
      <c r="C201" s="5">
        <v>45587</v>
      </c>
      <c r="D201" s="21" t="s">
        <v>27</v>
      </c>
      <c r="E201" s="21" t="s">
        <v>6</v>
      </c>
      <c r="F201" s="22">
        <v>12478</v>
      </c>
      <c r="G201" s="22">
        <v>484</v>
      </c>
      <c r="H201" s="22">
        <v>332</v>
      </c>
      <c r="I201" s="22">
        <v>2734</v>
      </c>
      <c r="J201" s="22">
        <v>43338</v>
      </c>
      <c r="K201" s="22">
        <v>213895</v>
      </c>
      <c r="L201" s="21" t="s">
        <v>63</v>
      </c>
      <c r="M201" s="4">
        <v>6.2151990462610156E-2</v>
      </c>
      <c r="N201" s="5">
        <f>_xlfn.XLOOKUP(L201,'Campaign Metadata'!$A$2:$A$6,'Campaign Metadata'!$B$2:$B$6)</f>
        <v>45458</v>
      </c>
      <c r="O201" s="5">
        <f>_xlfn.XLOOKUP(L201,'Campaign Metadata'!$A$2:$A$6,'Campaign Metadata'!$C$2:$C$6)</f>
        <v>45488</v>
      </c>
      <c r="P201" t="str">
        <f t="shared" si="3"/>
        <v>After</v>
      </c>
    </row>
    <row r="202" spans="1:16" x14ac:dyDescent="0.3">
      <c r="A202" t="s">
        <v>200</v>
      </c>
      <c r="B202" s="21" t="s">
        <v>31</v>
      </c>
      <c r="C202" s="5">
        <v>45587</v>
      </c>
      <c r="D202" s="21" t="s">
        <v>27</v>
      </c>
      <c r="E202" s="21" t="s">
        <v>1</v>
      </c>
      <c r="F202" s="22">
        <v>7750</v>
      </c>
      <c r="G202" s="22">
        <v>1146</v>
      </c>
      <c r="H202" s="22">
        <v>415</v>
      </c>
      <c r="I202" s="22">
        <v>1411</v>
      </c>
      <c r="J202" s="22">
        <v>85339</v>
      </c>
      <c r="K202" s="22">
        <v>172439</v>
      </c>
      <c r="L202" s="21" t="s">
        <v>60</v>
      </c>
      <c r="M202" s="4">
        <v>5.3995905798572247E-2</v>
      </c>
      <c r="N202" s="5">
        <f>_xlfn.XLOOKUP(L202,'Campaign Metadata'!$A$2:$A$6,'Campaign Metadata'!$B$2:$B$6)</f>
        <v>45717</v>
      </c>
      <c r="O202" s="5">
        <f>_xlfn.XLOOKUP(L202,'Campaign Metadata'!$A$2:$A$6,'Campaign Metadata'!$C$2:$C$6)</f>
        <v>45747</v>
      </c>
      <c r="P202" t="str">
        <f t="shared" si="3"/>
        <v>Before</v>
      </c>
    </row>
    <row r="203" spans="1:16" x14ac:dyDescent="0.3">
      <c r="A203" t="s">
        <v>200</v>
      </c>
      <c r="B203" s="21" t="s">
        <v>31</v>
      </c>
      <c r="C203" s="5">
        <v>45587</v>
      </c>
      <c r="D203" s="21" t="s">
        <v>27</v>
      </c>
      <c r="E203" s="21" t="s">
        <v>11</v>
      </c>
      <c r="F203" s="22">
        <v>7750</v>
      </c>
      <c r="G203" s="22">
        <v>1146</v>
      </c>
      <c r="H203" s="22">
        <v>415</v>
      </c>
      <c r="I203" s="22">
        <v>1411</v>
      </c>
      <c r="J203" s="22">
        <v>85339</v>
      </c>
      <c r="K203" s="22">
        <v>172439</v>
      </c>
      <c r="L203" s="21" t="s">
        <v>60</v>
      </c>
      <c r="M203" s="4">
        <v>5.3995905798572247E-2</v>
      </c>
      <c r="N203" s="5">
        <f>_xlfn.XLOOKUP(L203,'Campaign Metadata'!$A$2:$A$6,'Campaign Metadata'!$B$2:$B$6)</f>
        <v>45717</v>
      </c>
      <c r="O203" s="5">
        <f>_xlfn.XLOOKUP(L203,'Campaign Metadata'!$A$2:$A$6,'Campaign Metadata'!$C$2:$C$6)</f>
        <v>45747</v>
      </c>
      <c r="P203" t="str">
        <f t="shared" si="3"/>
        <v>Before</v>
      </c>
    </row>
    <row r="204" spans="1:16" x14ac:dyDescent="0.3">
      <c r="A204" t="s">
        <v>154</v>
      </c>
      <c r="B204" s="21" t="s">
        <v>31</v>
      </c>
      <c r="C204" s="5">
        <v>45587</v>
      </c>
      <c r="D204" s="21" t="s">
        <v>25</v>
      </c>
      <c r="E204" s="21" t="s">
        <v>1</v>
      </c>
      <c r="F204" s="22">
        <v>7622</v>
      </c>
      <c r="G204" s="22">
        <v>529</v>
      </c>
      <c r="H204" s="22">
        <v>720</v>
      </c>
      <c r="I204" s="22">
        <v>1015</v>
      </c>
      <c r="J204" s="22">
        <v>71322</v>
      </c>
      <c r="K204" s="22">
        <v>86819</v>
      </c>
      <c r="L204" s="21" t="s">
        <v>65</v>
      </c>
      <c r="M204" s="4">
        <v>0.10217809465669957</v>
      </c>
      <c r="N204" s="5">
        <f>_xlfn.XLOOKUP(L204,'Campaign Metadata'!$A$2:$A$6,'Campaign Metadata'!$B$2:$B$6)</f>
        <v>45566</v>
      </c>
      <c r="O204" s="5">
        <f>_xlfn.XLOOKUP(L204,'Campaign Metadata'!$A$2:$A$6,'Campaign Metadata'!$C$2:$C$6)</f>
        <v>45596</v>
      </c>
      <c r="P204" t="str">
        <f t="shared" si="3"/>
        <v>During</v>
      </c>
    </row>
    <row r="205" spans="1:16" x14ac:dyDescent="0.3">
      <c r="A205" t="s">
        <v>154</v>
      </c>
      <c r="B205" s="21" t="s">
        <v>31</v>
      </c>
      <c r="C205" s="5">
        <v>45587</v>
      </c>
      <c r="D205" s="21" t="s">
        <v>25</v>
      </c>
      <c r="E205" s="21" t="s">
        <v>11</v>
      </c>
      <c r="F205" s="22">
        <v>7622</v>
      </c>
      <c r="G205" s="22">
        <v>529</v>
      </c>
      <c r="H205" s="22">
        <v>720</v>
      </c>
      <c r="I205" s="22">
        <v>1015</v>
      </c>
      <c r="J205" s="22">
        <v>71322</v>
      </c>
      <c r="K205" s="22">
        <v>86819</v>
      </c>
      <c r="L205" s="21" t="s">
        <v>65</v>
      </c>
      <c r="M205" s="4">
        <v>0.10217809465669957</v>
      </c>
      <c r="N205" s="5">
        <f>_xlfn.XLOOKUP(L205,'Campaign Metadata'!$A$2:$A$6,'Campaign Metadata'!$B$2:$B$6)</f>
        <v>45566</v>
      </c>
      <c r="O205" s="5">
        <f>_xlfn.XLOOKUP(L205,'Campaign Metadata'!$A$2:$A$6,'Campaign Metadata'!$C$2:$C$6)</f>
        <v>45596</v>
      </c>
      <c r="P205" t="str">
        <f t="shared" si="3"/>
        <v>During</v>
      </c>
    </row>
    <row r="206" spans="1:16" x14ac:dyDescent="0.3">
      <c r="A206" t="s">
        <v>201</v>
      </c>
      <c r="B206" s="21" t="s">
        <v>29</v>
      </c>
      <c r="C206" s="5">
        <v>45592</v>
      </c>
      <c r="D206" s="21" t="s">
        <v>25</v>
      </c>
      <c r="E206" s="21" t="s">
        <v>10</v>
      </c>
      <c r="F206" s="22">
        <v>7560</v>
      </c>
      <c r="G206" s="22">
        <v>1139</v>
      </c>
      <c r="H206" s="22">
        <v>248</v>
      </c>
      <c r="I206" s="22">
        <v>1624</v>
      </c>
      <c r="J206" s="22">
        <v>72237</v>
      </c>
      <c r="K206" s="22">
        <v>177084</v>
      </c>
      <c r="L206" s="21" t="s">
        <v>60</v>
      </c>
      <c r="M206" s="4">
        <v>5.0524045085947912E-2</v>
      </c>
      <c r="N206" s="5">
        <f>_xlfn.XLOOKUP(L206,'Campaign Metadata'!$A$2:$A$6,'Campaign Metadata'!$B$2:$B$6)</f>
        <v>45717</v>
      </c>
      <c r="O206" s="5">
        <f>_xlfn.XLOOKUP(L206,'Campaign Metadata'!$A$2:$A$6,'Campaign Metadata'!$C$2:$C$6)</f>
        <v>45747</v>
      </c>
      <c r="P206" t="str">
        <f t="shared" si="3"/>
        <v>Before</v>
      </c>
    </row>
    <row r="207" spans="1:16" x14ac:dyDescent="0.3">
      <c r="A207" t="s">
        <v>201</v>
      </c>
      <c r="B207" s="21" t="s">
        <v>29</v>
      </c>
      <c r="C207" s="5">
        <v>45592</v>
      </c>
      <c r="D207" s="21" t="s">
        <v>25</v>
      </c>
      <c r="E207" s="21" t="s">
        <v>8</v>
      </c>
      <c r="F207" s="22">
        <v>7560</v>
      </c>
      <c r="G207" s="22">
        <v>1139</v>
      </c>
      <c r="H207" s="22">
        <v>248</v>
      </c>
      <c r="I207" s="22">
        <v>1624</v>
      </c>
      <c r="J207" s="22">
        <v>72237</v>
      </c>
      <c r="K207" s="22">
        <v>177084</v>
      </c>
      <c r="L207" s="21" t="s">
        <v>60</v>
      </c>
      <c r="M207" s="4">
        <v>5.0524045085947912E-2</v>
      </c>
      <c r="N207" s="5">
        <f>_xlfn.XLOOKUP(L207,'Campaign Metadata'!$A$2:$A$6,'Campaign Metadata'!$B$2:$B$6)</f>
        <v>45717</v>
      </c>
      <c r="O207" s="5">
        <f>_xlfn.XLOOKUP(L207,'Campaign Metadata'!$A$2:$A$6,'Campaign Metadata'!$C$2:$C$6)</f>
        <v>45747</v>
      </c>
      <c r="P207" t="str">
        <f t="shared" si="3"/>
        <v>Before</v>
      </c>
    </row>
    <row r="208" spans="1:16" x14ac:dyDescent="0.3">
      <c r="A208" t="s">
        <v>66</v>
      </c>
      <c r="B208" s="21" t="s">
        <v>31</v>
      </c>
      <c r="C208" s="5">
        <v>45593</v>
      </c>
      <c r="D208" s="21" t="s">
        <v>25</v>
      </c>
      <c r="E208" s="21" t="s">
        <v>3</v>
      </c>
      <c r="F208" s="22">
        <v>21198</v>
      </c>
      <c r="G208" s="22">
        <v>1484</v>
      </c>
      <c r="H208" s="22">
        <v>174</v>
      </c>
      <c r="I208" s="22">
        <v>1293</v>
      </c>
      <c r="J208" s="22">
        <v>16330</v>
      </c>
      <c r="K208" s="22">
        <v>111635</v>
      </c>
      <c r="L208" s="21" t="s">
        <v>63</v>
      </c>
      <c r="M208" s="4">
        <v>0.20473865723115511</v>
      </c>
      <c r="N208" s="5">
        <f>_xlfn.XLOOKUP(L208,'Campaign Metadata'!$A$2:$A$6,'Campaign Metadata'!$B$2:$B$6)</f>
        <v>45458</v>
      </c>
      <c r="O208" s="5">
        <f>_xlfn.XLOOKUP(L208,'Campaign Metadata'!$A$2:$A$6,'Campaign Metadata'!$C$2:$C$6)</f>
        <v>45488</v>
      </c>
      <c r="P208" t="str">
        <f t="shared" si="3"/>
        <v>After</v>
      </c>
    </row>
    <row r="209" spans="1:16" x14ac:dyDescent="0.3">
      <c r="A209" t="s">
        <v>66</v>
      </c>
      <c r="B209" s="21" t="s">
        <v>31</v>
      </c>
      <c r="C209" s="5">
        <v>45593</v>
      </c>
      <c r="D209" s="21" t="s">
        <v>25</v>
      </c>
      <c r="E209" s="21" t="s">
        <v>12</v>
      </c>
      <c r="F209" s="22">
        <v>21198</v>
      </c>
      <c r="G209" s="22">
        <v>1484</v>
      </c>
      <c r="H209" s="22">
        <v>174</v>
      </c>
      <c r="I209" s="22">
        <v>1293</v>
      </c>
      <c r="J209" s="22">
        <v>16330</v>
      </c>
      <c r="K209" s="22">
        <v>111635</v>
      </c>
      <c r="L209" s="21" t="s">
        <v>63</v>
      </c>
      <c r="M209" s="4">
        <v>0.20473865723115511</v>
      </c>
      <c r="N209" s="5">
        <f>_xlfn.XLOOKUP(L209,'Campaign Metadata'!$A$2:$A$6,'Campaign Metadata'!$B$2:$B$6)</f>
        <v>45458</v>
      </c>
      <c r="O209" s="5">
        <f>_xlfn.XLOOKUP(L209,'Campaign Metadata'!$A$2:$A$6,'Campaign Metadata'!$C$2:$C$6)</f>
        <v>45488</v>
      </c>
      <c r="P209" t="str">
        <f t="shared" si="3"/>
        <v>After</v>
      </c>
    </row>
    <row r="210" spans="1:16" x14ac:dyDescent="0.3">
      <c r="A210" t="s">
        <v>152</v>
      </c>
      <c r="B210" s="21" t="s">
        <v>30</v>
      </c>
      <c r="C210" s="5">
        <v>45593</v>
      </c>
      <c r="D210" s="21" t="s">
        <v>25</v>
      </c>
      <c r="E210" s="21" t="s">
        <v>15</v>
      </c>
      <c r="F210" s="22">
        <v>8981</v>
      </c>
      <c r="G210" s="22">
        <v>1138</v>
      </c>
      <c r="H210" s="22">
        <v>764</v>
      </c>
      <c r="I210" s="22">
        <v>2555</v>
      </c>
      <c r="J210" s="22">
        <v>92810</v>
      </c>
      <c r="K210" s="22">
        <v>88320</v>
      </c>
      <c r="L210" s="21" t="s">
        <v>65</v>
      </c>
      <c r="M210" s="4">
        <v>0.1232223731884058</v>
      </c>
      <c r="N210" s="5">
        <f>_xlfn.XLOOKUP(L210,'Campaign Metadata'!$A$2:$A$6,'Campaign Metadata'!$B$2:$B$6)</f>
        <v>45566</v>
      </c>
      <c r="O210" s="5">
        <f>_xlfn.XLOOKUP(L210,'Campaign Metadata'!$A$2:$A$6,'Campaign Metadata'!$C$2:$C$6)</f>
        <v>45596</v>
      </c>
      <c r="P210" t="str">
        <f t="shared" si="3"/>
        <v>During</v>
      </c>
    </row>
    <row r="211" spans="1:16" x14ac:dyDescent="0.3">
      <c r="A211" t="s">
        <v>152</v>
      </c>
      <c r="B211" s="21" t="s">
        <v>30</v>
      </c>
      <c r="C211" s="5">
        <v>45593</v>
      </c>
      <c r="D211" s="21" t="s">
        <v>25</v>
      </c>
      <c r="E211" s="21" t="s">
        <v>18</v>
      </c>
      <c r="F211" s="22">
        <v>8981</v>
      </c>
      <c r="G211" s="22">
        <v>1138</v>
      </c>
      <c r="H211" s="22">
        <v>764</v>
      </c>
      <c r="I211" s="22">
        <v>2555</v>
      </c>
      <c r="J211" s="22">
        <v>92810</v>
      </c>
      <c r="K211" s="22">
        <v>88320</v>
      </c>
      <c r="L211" s="21" t="s">
        <v>65</v>
      </c>
      <c r="M211" s="4">
        <v>0.1232223731884058</v>
      </c>
      <c r="N211" s="5">
        <f>_xlfn.XLOOKUP(L211,'Campaign Metadata'!$A$2:$A$6,'Campaign Metadata'!$B$2:$B$6)</f>
        <v>45566</v>
      </c>
      <c r="O211" s="5">
        <f>_xlfn.XLOOKUP(L211,'Campaign Metadata'!$A$2:$A$6,'Campaign Metadata'!$C$2:$C$6)</f>
        <v>45596</v>
      </c>
      <c r="P211" t="str">
        <f t="shared" si="3"/>
        <v>During</v>
      </c>
    </row>
    <row r="212" spans="1:16" x14ac:dyDescent="0.3">
      <c r="A212" t="s">
        <v>75</v>
      </c>
      <c r="B212" s="21" t="s">
        <v>32</v>
      </c>
      <c r="C212" s="5">
        <v>45594</v>
      </c>
      <c r="D212" s="21" t="s">
        <v>27</v>
      </c>
      <c r="E212" s="21" t="s">
        <v>3</v>
      </c>
      <c r="F212" s="22">
        <v>23969</v>
      </c>
      <c r="G212" s="22">
        <v>1433</v>
      </c>
      <c r="H212" s="22">
        <v>372</v>
      </c>
      <c r="I212" s="22">
        <v>1092</v>
      </c>
      <c r="J212" s="22">
        <v>32147</v>
      </c>
      <c r="K212" s="22">
        <v>145823</v>
      </c>
      <c r="L212" s="21" t="s">
        <v>60</v>
      </c>
      <c r="M212" s="4">
        <v>0.17674852389540743</v>
      </c>
      <c r="N212" s="5">
        <f>_xlfn.XLOOKUP(L212,'Campaign Metadata'!$A$2:$A$6,'Campaign Metadata'!$B$2:$B$6)</f>
        <v>45717</v>
      </c>
      <c r="O212" s="5">
        <f>_xlfn.XLOOKUP(L212,'Campaign Metadata'!$A$2:$A$6,'Campaign Metadata'!$C$2:$C$6)</f>
        <v>45747</v>
      </c>
      <c r="P212" t="str">
        <f t="shared" si="3"/>
        <v>Before</v>
      </c>
    </row>
    <row r="213" spans="1:16" x14ac:dyDescent="0.3">
      <c r="A213" t="s">
        <v>75</v>
      </c>
      <c r="B213" s="21" t="s">
        <v>32</v>
      </c>
      <c r="C213" s="5">
        <v>45594</v>
      </c>
      <c r="D213" s="21" t="s">
        <v>27</v>
      </c>
      <c r="E213" s="21" t="s">
        <v>13</v>
      </c>
      <c r="F213" s="22">
        <v>23969</v>
      </c>
      <c r="G213" s="22">
        <v>1433</v>
      </c>
      <c r="H213" s="22">
        <v>372</v>
      </c>
      <c r="I213" s="22">
        <v>1092</v>
      </c>
      <c r="J213" s="22">
        <v>32147</v>
      </c>
      <c r="K213" s="22">
        <v>145823</v>
      </c>
      <c r="L213" s="21" t="s">
        <v>60</v>
      </c>
      <c r="M213" s="4">
        <v>0.17674852389540743</v>
      </c>
      <c r="N213" s="5">
        <f>_xlfn.XLOOKUP(L213,'Campaign Metadata'!$A$2:$A$6,'Campaign Metadata'!$B$2:$B$6)</f>
        <v>45717</v>
      </c>
      <c r="O213" s="5">
        <f>_xlfn.XLOOKUP(L213,'Campaign Metadata'!$A$2:$A$6,'Campaign Metadata'!$C$2:$C$6)</f>
        <v>45747</v>
      </c>
      <c r="P213" t="str">
        <f t="shared" si="3"/>
        <v>Before</v>
      </c>
    </row>
    <row r="214" spans="1:16" x14ac:dyDescent="0.3">
      <c r="A214" t="s">
        <v>112</v>
      </c>
      <c r="B214" s="21" t="s">
        <v>29</v>
      </c>
      <c r="C214" s="5">
        <v>45600</v>
      </c>
      <c r="D214" s="21" t="s">
        <v>26</v>
      </c>
      <c r="E214" s="21" t="s">
        <v>3</v>
      </c>
      <c r="F214" s="22">
        <v>14015</v>
      </c>
      <c r="G214" s="22">
        <v>978</v>
      </c>
      <c r="H214" s="22">
        <v>196</v>
      </c>
      <c r="I214" s="22">
        <v>2744</v>
      </c>
      <c r="J214" s="22">
        <v>20190</v>
      </c>
      <c r="K214" s="22">
        <v>186470</v>
      </c>
      <c r="L214" s="21" t="s">
        <v>60</v>
      </c>
      <c r="M214" s="4">
        <v>8.1455462004611998E-2</v>
      </c>
      <c r="N214" s="5">
        <f>_xlfn.XLOOKUP(L214,'Campaign Metadata'!$A$2:$A$6,'Campaign Metadata'!$B$2:$B$6)</f>
        <v>45717</v>
      </c>
      <c r="O214" s="5">
        <f>_xlfn.XLOOKUP(L214,'Campaign Metadata'!$A$2:$A$6,'Campaign Metadata'!$C$2:$C$6)</f>
        <v>45747</v>
      </c>
      <c r="P214" t="str">
        <f t="shared" si="3"/>
        <v>Before</v>
      </c>
    </row>
    <row r="215" spans="1:16" x14ac:dyDescent="0.3">
      <c r="A215" t="s">
        <v>112</v>
      </c>
      <c r="B215" s="21" t="s">
        <v>29</v>
      </c>
      <c r="C215" s="5">
        <v>45600</v>
      </c>
      <c r="D215" s="21" t="s">
        <v>26</v>
      </c>
      <c r="E215" s="21" t="s">
        <v>13</v>
      </c>
      <c r="F215" s="22">
        <v>14015</v>
      </c>
      <c r="G215" s="22">
        <v>978</v>
      </c>
      <c r="H215" s="22">
        <v>196</v>
      </c>
      <c r="I215" s="22">
        <v>2744</v>
      </c>
      <c r="J215" s="22">
        <v>20190</v>
      </c>
      <c r="K215" s="22">
        <v>186470</v>
      </c>
      <c r="L215" s="21" t="s">
        <v>60</v>
      </c>
      <c r="M215" s="4">
        <v>8.1455462004611998E-2</v>
      </c>
      <c r="N215" s="5">
        <f>_xlfn.XLOOKUP(L215,'Campaign Metadata'!$A$2:$A$6,'Campaign Metadata'!$B$2:$B$6)</f>
        <v>45717</v>
      </c>
      <c r="O215" s="5">
        <f>_xlfn.XLOOKUP(L215,'Campaign Metadata'!$A$2:$A$6,'Campaign Metadata'!$C$2:$C$6)</f>
        <v>45747</v>
      </c>
      <c r="P215" t="str">
        <f t="shared" si="3"/>
        <v>Before</v>
      </c>
    </row>
    <row r="216" spans="1:16" x14ac:dyDescent="0.3">
      <c r="A216" t="s">
        <v>188</v>
      </c>
      <c r="B216" s="21" t="s">
        <v>31</v>
      </c>
      <c r="C216" s="5">
        <v>45600</v>
      </c>
      <c r="D216" s="21" t="s">
        <v>28</v>
      </c>
      <c r="E216" s="21" t="s">
        <v>18</v>
      </c>
      <c r="F216" s="22">
        <v>14234</v>
      </c>
      <c r="G216" s="22">
        <v>1013</v>
      </c>
      <c r="H216" s="22">
        <v>437</v>
      </c>
      <c r="I216" s="22">
        <v>338</v>
      </c>
      <c r="J216" s="22">
        <v>67754</v>
      </c>
      <c r="K216" s="22">
        <v>160030</v>
      </c>
      <c r="L216" s="21" t="s">
        <v>60</v>
      </c>
      <c r="M216" s="4">
        <v>9.8006623758045364E-2</v>
      </c>
      <c r="N216" s="5">
        <f>_xlfn.XLOOKUP(L216,'Campaign Metadata'!$A$2:$A$6,'Campaign Metadata'!$B$2:$B$6)</f>
        <v>45717</v>
      </c>
      <c r="O216" s="5">
        <f>_xlfn.XLOOKUP(L216,'Campaign Metadata'!$A$2:$A$6,'Campaign Metadata'!$C$2:$C$6)</f>
        <v>45747</v>
      </c>
      <c r="P216" t="str">
        <f t="shared" si="3"/>
        <v>Before</v>
      </c>
    </row>
    <row r="217" spans="1:16" x14ac:dyDescent="0.3">
      <c r="A217" t="s">
        <v>164</v>
      </c>
      <c r="B217" s="21" t="s">
        <v>32</v>
      </c>
      <c r="C217" s="5">
        <v>45601</v>
      </c>
      <c r="D217" s="21" t="s">
        <v>27</v>
      </c>
      <c r="E217" s="21" t="s">
        <v>17</v>
      </c>
      <c r="F217" s="22">
        <v>8469</v>
      </c>
      <c r="G217" s="22">
        <v>935</v>
      </c>
      <c r="H217" s="22">
        <v>211</v>
      </c>
      <c r="I217" s="22">
        <v>2635</v>
      </c>
      <c r="J217" s="22">
        <v>21890</v>
      </c>
      <c r="K217" s="22">
        <v>184539</v>
      </c>
      <c r="L217" s="21" t="s">
        <v>65</v>
      </c>
      <c r="M217" s="4">
        <v>5.2102807536618279E-2</v>
      </c>
      <c r="N217" s="5">
        <f>_xlfn.XLOOKUP(L217,'Campaign Metadata'!$A$2:$A$6,'Campaign Metadata'!$B$2:$B$6)</f>
        <v>45566</v>
      </c>
      <c r="O217" s="5">
        <f>_xlfn.XLOOKUP(L217,'Campaign Metadata'!$A$2:$A$6,'Campaign Metadata'!$C$2:$C$6)</f>
        <v>45596</v>
      </c>
      <c r="P217" t="str">
        <f t="shared" si="3"/>
        <v>After</v>
      </c>
    </row>
    <row r="218" spans="1:16" x14ac:dyDescent="0.3">
      <c r="A218" t="s">
        <v>76</v>
      </c>
      <c r="B218" s="21" t="s">
        <v>31</v>
      </c>
      <c r="C218" s="5">
        <v>45602</v>
      </c>
      <c r="D218" s="21" t="s">
        <v>25</v>
      </c>
      <c r="E218" s="21" t="s">
        <v>3</v>
      </c>
      <c r="F218" s="22">
        <v>8938</v>
      </c>
      <c r="G218" s="22">
        <v>800</v>
      </c>
      <c r="H218" s="22">
        <v>842</v>
      </c>
      <c r="I218" s="22">
        <v>2072</v>
      </c>
      <c r="J218" s="22">
        <v>31736</v>
      </c>
      <c r="K218" s="22">
        <v>59975</v>
      </c>
      <c r="L218" s="21" t="s">
        <v>63</v>
      </c>
      <c r="M218" s="4">
        <v>0.17640683618174238</v>
      </c>
      <c r="N218" s="5">
        <f>_xlfn.XLOOKUP(L218,'Campaign Metadata'!$A$2:$A$6,'Campaign Metadata'!$B$2:$B$6)</f>
        <v>45458</v>
      </c>
      <c r="O218" s="5">
        <f>_xlfn.XLOOKUP(L218,'Campaign Metadata'!$A$2:$A$6,'Campaign Metadata'!$C$2:$C$6)</f>
        <v>45488</v>
      </c>
      <c r="P218" t="str">
        <f t="shared" si="3"/>
        <v>After</v>
      </c>
    </row>
    <row r="219" spans="1:16" x14ac:dyDescent="0.3">
      <c r="A219" t="s">
        <v>76</v>
      </c>
      <c r="B219" s="21" t="s">
        <v>31</v>
      </c>
      <c r="C219" s="5">
        <v>45602</v>
      </c>
      <c r="D219" s="21" t="s">
        <v>25</v>
      </c>
      <c r="E219" s="21" t="s">
        <v>13</v>
      </c>
      <c r="F219" s="22">
        <v>8938</v>
      </c>
      <c r="G219" s="22">
        <v>800</v>
      </c>
      <c r="H219" s="22">
        <v>842</v>
      </c>
      <c r="I219" s="22">
        <v>2072</v>
      </c>
      <c r="J219" s="22">
        <v>31736</v>
      </c>
      <c r="K219" s="22">
        <v>59975</v>
      </c>
      <c r="L219" s="21" t="s">
        <v>63</v>
      </c>
      <c r="M219" s="4">
        <v>0.17640683618174238</v>
      </c>
      <c r="N219" s="5">
        <f>_xlfn.XLOOKUP(L219,'Campaign Metadata'!$A$2:$A$6,'Campaign Metadata'!$B$2:$B$6)</f>
        <v>45458</v>
      </c>
      <c r="O219" s="5">
        <f>_xlfn.XLOOKUP(L219,'Campaign Metadata'!$A$2:$A$6,'Campaign Metadata'!$C$2:$C$6)</f>
        <v>45488</v>
      </c>
      <c r="P219" t="str">
        <f t="shared" si="3"/>
        <v>After</v>
      </c>
    </row>
    <row r="220" spans="1:16" x14ac:dyDescent="0.3">
      <c r="A220" t="s">
        <v>236</v>
      </c>
      <c r="B220" s="21" t="s">
        <v>29</v>
      </c>
      <c r="C220" s="5">
        <v>45602</v>
      </c>
      <c r="D220" s="21" t="s">
        <v>26</v>
      </c>
      <c r="E220" s="21" t="s">
        <v>5</v>
      </c>
      <c r="F220" s="22">
        <v>11865</v>
      </c>
      <c r="G220" s="22">
        <v>241</v>
      </c>
      <c r="H220" s="22">
        <v>319</v>
      </c>
      <c r="I220" s="22">
        <v>703</v>
      </c>
      <c r="J220" s="22">
        <v>69596</v>
      </c>
      <c r="K220" s="22">
        <v>177513</v>
      </c>
      <c r="L220" s="21" t="s">
        <v>63</v>
      </c>
      <c r="M220" s="4">
        <v>6.999487361489018E-2</v>
      </c>
      <c r="N220" s="5">
        <f>_xlfn.XLOOKUP(L220,'Campaign Metadata'!$A$2:$A$6,'Campaign Metadata'!$B$2:$B$6)</f>
        <v>45458</v>
      </c>
      <c r="O220" s="5">
        <f>_xlfn.XLOOKUP(L220,'Campaign Metadata'!$A$2:$A$6,'Campaign Metadata'!$C$2:$C$6)</f>
        <v>45488</v>
      </c>
      <c r="P220" t="str">
        <f t="shared" si="3"/>
        <v>After</v>
      </c>
    </row>
    <row r="221" spans="1:16" x14ac:dyDescent="0.3">
      <c r="A221" t="s">
        <v>236</v>
      </c>
      <c r="B221" s="21" t="s">
        <v>29</v>
      </c>
      <c r="C221" s="5">
        <v>45602</v>
      </c>
      <c r="D221" s="21" t="s">
        <v>26</v>
      </c>
      <c r="E221" s="21" t="s">
        <v>6</v>
      </c>
      <c r="F221" s="22">
        <v>11865</v>
      </c>
      <c r="G221" s="22">
        <v>241</v>
      </c>
      <c r="H221" s="22">
        <v>319</v>
      </c>
      <c r="I221" s="22">
        <v>703</v>
      </c>
      <c r="J221" s="22">
        <v>69596</v>
      </c>
      <c r="K221" s="22">
        <v>177513</v>
      </c>
      <c r="L221" s="21" t="s">
        <v>63</v>
      </c>
      <c r="M221" s="4">
        <v>6.999487361489018E-2</v>
      </c>
      <c r="N221" s="5">
        <f>_xlfn.XLOOKUP(L221,'Campaign Metadata'!$A$2:$A$6,'Campaign Metadata'!$B$2:$B$6)</f>
        <v>45458</v>
      </c>
      <c r="O221" s="5">
        <f>_xlfn.XLOOKUP(L221,'Campaign Metadata'!$A$2:$A$6,'Campaign Metadata'!$C$2:$C$6)</f>
        <v>45488</v>
      </c>
      <c r="P221" t="str">
        <f t="shared" si="3"/>
        <v>After</v>
      </c>
    </row>
    <row r="222" spans="1:16" x14ac:dyDescent="0.3">
      <c r="A222" t="s">
        <v>142</v>
      </c>
      <c r="B222" s="21" t="s">
        <v>31</v>
      </c>
      <c r="C222" s="5">
        <v>45603</v>
      </c>
      <c r="D222" s="21" t="s">
        <v>25</v>
      </c>
      <c r="E222" s="21" t="s">
        <v>18</v>
      </c>
      <c r="F222" s="22">
        <v>17254</v>
      </c>
      <c r="G222" s="22">
        <v>246</v>
      </c>
      <c r="H222" s="22">
        <v>952</v>
      </c>
      <c r="I222" s="22">
        <v>871</v>
      </c>
      <c r="J222" s="22">
        <v>14957</v>
      </c>
      <c r="K222" s="22">
        <v>75946</v>
      </c>
      <c r="L222" s="21" t="s">
        <v>65</v>
      </c>
      <c r="M222" s="4">
        <v>0.24296210465330631</v>
      </c>
      <c r="N222" s="5">
        <f>_xlfn.XLOOKUP(L222,'Campaign Metadata'!$A$2:$A$6,'Campaign Metadata'!$B$2:$B$6)</f>
        <v>45566</v>
      </c>
      <c r="O222" s="5">
        <f>_xlfn.XLOOKUP(L222,'Campaign Metadata'!$A$2:$A$6,'Campaign Metadata'!$C$2:$C$6)</f>
        <v>45596</v>
      </c>
      <c r="P222" t="str">
        <f t="shared" si="3"/>
        <v>After</v>
      </c>
    </row>
    <row r="223" spans="1:16" x14ac:dyDescent="0.3">
      <c r="A223" t="s">
        <v>129</v>
      </c>
      <c r="B223" s="21" t="s">
        <v>31</v>
      </c>
      <c r="C223" s="5">
        <v>45603</v>
      </c>
      <c r="D223" s="21" t="s">
        <v>25</v>
      </c>
      <c r="E223" s="21" t="s">
        <v>3</v>
      </c>
      <c r="F223" s="22">
        <v>11550</v>
      </c>
      <c r="G223" s="22">
        <v>501</v>
      </c>
      <c r="H223" s="22">
        <v>646</v>
      </c>
      <c r="I223" s="22">
        <v>773</v>
      </c>
      <c r="J223" s="22">
        <v>17841</v>
      </c>
      <c r="K223" s="22">
        <v>237576</v>
      </c>
      <c r="L223" s="21" t="s">
        <v>63</v>
      </c>
      <c r="M223" s="4">
        <v>5.3443950567397383E-2</v>
      </c>
      <c r="N223" s="5">
        <f>_xlfn.XLOOKUP(L223,'Campaign Metadata'!$A$2:$A$6,'Campaign Metadata'!$B$2:$B$6)</f>
        <v>45458</v>
      </c>
      <c r="O223" s="5">
        <f>_xlfn.XLOOKUP(L223,'Campaign Metadata'!$A$2:$A$6,'Campaign Metadata'!$C$2:$C$6)</f>
        <v>45488</v>
      </c>
      <c r="P223" t="str">
        <f t="shared" si="3"/>
        <v>After</v>
      </c>
    </row>
    <row r="224" spans="1:16" x14ac:dyDescent="0.3">
      <c r="A224" t="s">
        <v>129</v>
      </c>
      <c r="B224" s="21" t="s">
        <v>31</v>
      </c>
      <c r="C224" s="5">
        <v>45603</v>
      </c>
      <c r="D224" s="21" t="s">
        <v>25</v>
      </c>
      <c r="E224" s="21" t="s">
        <v>14</v>
      </c>
      <c r="F224" s="22">
        <v>11550</v>
      </c>
      <c r="G224" s="22">
        <v>501</v>
      </c>
      <c r="H224" s="22">
        <v>646</v>
      </c>
      <c r="I224" s="22">
        <v>773</v>
      </c>
      <c r="J224" s="22">
        <v>17841</v>
      </c>
      <c r="K224" s="22">
        <v>237576</v>
      </c>
      <c r="L224" s="21" t="s">
        <v>63</v>
      </c>
      <c r="M224" s="4">
        <v>5.3443950567397383E-2</v>
      </c>
      <c r="N224" s="5">
        <f>_xlfn.XLOOKUP(L224,'Campaign Metadata'!$A$2:$A$6,'Campaign Metadata'!$B$2:$B$6)</f>
        <v>45458</v>
      </c>
      <c r="O224" s="5">
        <f>_xlfn.XLOOKUP(L224,'Campaign Metadata'!$A$2:$A$6,'Campaign Metadata'!$C$2:$C$6)</f>
        <v>45488</v>
      </c>
      <c r="P224" t="str">
        <f t="shared" si="3"/>
        <v>After</v>
      </c>
    </row>
    <row r="225" spans="1:16" x14ac:dyDescent="0.3">
      <c r="A225" t="s">
        <v>91</v>
      </c>
      <c r="B225" s="21" t="s">
        <v>31</v>
      </c>
      <c r="C225" s="5">
        <v>45604</v>
      </c>
      <c r="D225" s="21" t="s">
        <v>27</v>
      </c>
      <c r="E225" s="21" t="s">
        <v>3</v>
      </c>
      <c r="F225" s="22">
        <v>23499</v>
      </c>
      <c r="G225" s="22">
        <v>562</v>
      </c>
      <c r="H225" s="22">
        <v>964</v>
      </c>
      <c r="I225" s="22">
        <v>2557</v>
      </c>
      <c r="J225" s="22">
        <v>56890</v>
      </c>
      <c r="K225" s="22">
        <v>218686</v>
      </c>
      <c r="L225" s="21" t="s">
        <v>63</v>
      </c>
      <c r="M225" s="4">
        <v>0.11443347996671026</v>
      </c>
      <c r="N225" s="5">
        <f>_xlfn.XLOOKUP(L225,'Campaign Metadata'!$A$2:$A$6,'Campaign Metadata'!$B$2:$B$6)</f>
        <v>45458</v>
      </c>
      <c r="O225" s="5">
        <f>_xlfn.XLOOKUP(L225,'Campaign Metadata'!$A$2:$A$6,'Campaign Metadata'!$C$2:$C$6)</f>
        <v>45488</v>
      </c>
      <c r="P225" t="str">
        <f t="shared" si="3"/>
        <v>After</v>
      </c>
    </row>
    <row r="226" spans="1:16" x14ac:dyDescent="0.3">
      <c r="A226" t="s">
        <v>91</v>
      </c>
      <c r="B226" s="21" t="s">
        <v>31</v>
      </c>
      <c r="C226" s="5">
        <v>45604</v>
      </c>
      <c r="D226" s="21" t="s">
        <v>27</v>
      </c>
      <c r="E226" s="21" t="s">
        <v>12</v>
      </c>
      <c r="F226" s="22">
        <v>23499</v>
      </c>
      <c r="G226" s="22">
        <v>562</v>
      </c>
      <c r="H226" s="22">
        <v>964</v>
      </c>
      <c r="I226" s="22">
        <v>2557</v>
      </c>
      <c r="J226" s="22">
        <v>56890</v>
      </c>
      <c r="K226" s="22">
        <v>218686</v>
      </c>
      <c r="L226" s="21" t="s">
        <v>63</v>
      </c>
      <c r="M226" s="4">
        <v>0.11443347996671026</v>
      </c>
      <c r="N226" s="5">
        <f>_xlfn.XLOOKUP(L226,'Campaign Metadata'!$A$2:$A$6,'Campaign Metadata'!$B$2:$B$6)</f>
        <v>45458</v>
      </c>
      <c r="O226" s="5">
        <f>_xlfn.XLOOKUP(L226,'Campaign Metadata'!$A$2:$A$6,'Campaign Metadata'!$C$2:$C$6)</f>
        <v>45488</v>
      </c>
      <c r="P226" t="str">
        <f t="shared" si="3"/>
        <v>After</v>
      </c>
    </row>
    <row r="227" spans="1:16" x14ac:dyDescent="0.3">
      <c r="A227" t="s">
        <v>262</v>
      </c>
      <c r="B227" s="21" t="s">
        <v>32</v>
      </c>
      <c r="C227" s="5">
        <v>45608</v>
      </c>
      <c r="D227" s="21" t="s">
        <v>26</v>
      </c>
      <c r="E227" s="21" t="s">
        <v>16</v>
      </c>
      <c r="F227" s="22">
        <v>19022</v>
      </c>
      <c r="G227" s="22">
        <v>541</v>
      </c>
      <c r="H227" s="22">
        <v>575</v>
      </c>
      <c r="I227" s="22">
        <v>2063</v>
      </c>
      <c r="J227" s="22">
        <v>42743</v>
      </c>
      <c r="K227" s="22">
        <v>150169</v>
      </c>
      <c r="L227" s="21" t="s">
        <v>59</v>
      </c>
      <c r="M227" s="4">
        <v>0.13410224480418728</v>
      </c>
      <c r="N227" s="5">
        <f>_xlfn.XLOOKUP(L227,'Campaign Metadata'!$A$2:$A$6,'Campaign Metadata'!$B$2:$B$6)</f>
        <v>45651</v>
      </c>
      <c r="O227" s="5">
        <f>_xlfn.XLOOKUP(L227,'Campaign Metadata'!$A$2:$A$6,'Campaign Metadata'!$C$2:$C$6)</f>
        <v>45667</v>
      </c>
      <c r="P227" t="str">
        <f t="shared" si="3"/>
        <v>Before</v>
      </c>
    </row>
    <row r="228" spans="1:16" x14ac:dyDescent="0.3">
      <c r="A228" t="s">
        <v>262</v>
      </c>
      <c r="B228" s="21" t="s">
        <v>32</v>
      </c>
      <c r="C228" s="5">
        <v>45608</v>
      </c>
      <c r="D228" s="21" t="s">
        <v>26</v>
      </c>
      <c r="E228" s="21" t="s">
        <v>4</v>
      </c>
      <c r="F228" s="22">
        <v>19022</v>
      </c>
      <c r="G228" s="22">
        <v>541</v>
      </c>
      <c r="H228" s="22">
        <v>575</v>
      </c>
      <c r="I228" s="22">
        <v>2063</v>
      </c>
      <c r="J228" s="22">
        <v>42743</v>
      </c>
      <c r="K228" s="22">
        <v>150169</v>
      </c>
      <c r="L228" s="21" t="s">
        <v>59</v>
      </c>
      <c r="M228" s="4">
        <v>0.13410224480418728</v>
      </c>
      <c r="N228" s="5">
        <f>_xlfn.XLOOKUP(L228,'Campaign Metadata'!$A$2:$A$6,'Campaign Metadata'!$B$2:$B$6)</f>
        <v>45651</v>
      </c>
      <c r="O228" s="5">
        <f>_xlfn.XLOOKUP(L228,'Campaign Metadata'!$A$2:$A$6,'Campaign Metadata'!$C$2:$C$6)</f>
        <v>45667</v>
      </c>
      <c r="P228" t="str">
        <f t="shared" si="3"/>
        <v>Before</v>
      </c>
    </row>
    <row r="229" spans="1:16" x14ac:dyDescent="0.3">
      <c r="A229" t="s">
        <v>169</v>
      </c>
      <c r="B229" s="21" t="s">
        <v>31</v>
      </c>
      <c r="C229" s="5">
        <v>45608</v>
      </c>
      <c r="D229" s="21" t="s">
        <v>28</v>
      </c>
      <c r="E229" s="21" t="s">
        <v>11</v>
      </c>
      <c r="F229" s="22">
        <v>17913</v>
      </c>
      <c r="G229" s="22">
        <v>1311</v>
      </c>
      <c r="H229" s="22">
        <v>859</v>
      </c>
      <c r="I229" s="22">
        <v>405</v>
      </c>
      <c r="J229" s="22">
        <v>59842</v>
      </c>
      <c r="K229" s="22">
        <v>62612</v>
      </c>
      <c r="L229" s="21" t="s">
        <v>60</v>
      </c>
      <c r="M229" s="4">
        <v>0.32075321024723696</v>
      </c>
      <c r="N229" s="5">
        <f>_xlfn.XLOOKUP(L229,'Campaign Metadata'!$A$2:$A$6,'Campaign Metadata'!$B$2:$B$6)</f>
        <v>45717</v>
      </c>
      <c r="O229" s="5">
        <f>_xlfn.XLOOKUP(L229,'Campaign Metadata'!$A$2:$A$6,'Campaign Metadata'!$C$2:$C$6)</f>
        <v>45747</v>
      </c>
      <c r="P229" t="str">
        <f t="shared" si="3"/>
        <v>Before</v>
      </c>
    </row>
    <row r="230" spans="1:16" x14ac:dyDescent="0.3">
      <c r="A230" t="s">
        <v>169</v>
      </c>
      <c r="B230" s="21" t="s">
        <v>31</v>
      </c>
      <c r="C230" s="5">
        <v>45608</v>
      </c>
      <c r="D230" s="21" t="s">
        <v>28</v>
      </c>
      <c r="E230" s="21" t="s">
        <v>1</v>
      </c>
      <c r="F230" s="22">
        <v>17913</v>
      </c>
      <c r="G230" s="22">
        <v>1311</v>
      </c>
      <c r="H230" s="22">
        <v>859</v>
      </c>
      <c r="I230" s="22">
        <v>405</v>
      </c>
      <c r="J230" s="22">
        <v>59842</v>
      </c>
      <c r="K230" s="22">
        <v>62612</v>
      </c>
      <c r="L230" s="21" t="s">
        <v>60</v>
      </c>
      <c r="M230" s="4">
        <v>0.32075321024723696</v>
      </c>
      <c r="N230" s="5">
        <f>_xlfn.XLOOKUP(L230,'Campaign Metadata'!$A$2:$A$6,'Campaign Metadata'!$B$2:$B$6)</f>
        <v>45717</v>
      </c>
      <c r="O230" s="5">
        <f>_xlfn.XLOOKUP(L230,'Campaign Metadata'!$A$2:$A$6,'Campaign Metadata'!$C$2:$C$6)</f>
        <v>45747</v>
      </c>
      <c r="P230" t="str">
        <f t="shared" si="3"/>
        <v>Before</v>
      </c>
    </row>
    <row r="231" spans="1:16" x14ac:dyDescent="0.3">
      <c r="A231" t="s">
        <v>230</v>
      </c>
      <c r="B231" s="21" t="s">
        <v>31</v>
      </c>
      <c r="C231" s="5">
        <v>45610</v>
      </c>
      <c r="D231" s="21" t="s">
        <v>26</v>
      </c>
      <c r="E231" s="21" t="s">
        <v>1</v>
      </c>
      <c r="F231" s="22">
        <v>6300</v>
      </c>
      <c r="G231" s="22">
        <v>1213</v>
      </c>
      <c r="H231" s="22">
        <v>720</v>
      </c>
      <c r="I231" s="22">
        <v>1037</v>
      </c>
      <c r="J231" s="22">
        <v>39569</v>
      </c>
      <c r="K231" s="22">
        <v>85272</v>
      </c>
      <c r="L231" s="21" t="s">
        <v>63</v>
      </c>
      <c r="M231" s="4">
        <v>9.6549863964724647E-2</v>
      </c>
      <c r="N231" s="5">
        <f>_xlfn.XLOOKUP(L231,'Campaign Metadata'!$A$2:$A$6,'Campaign Metadata'!$B$2:$B$6)</f>
        <v>45458</v>
      </c>
      <c r="O231" s="5">
        <f>_xlfn.XLOOKUP(L231,'Campaign Metadata'!$A$2:$A$6,'Campaign Metadata'!$C$2:$C$6)</f>
        <v>45488</v>
      </c>
      <c r="P231" t="str">
        <f t="shared" si="3"/>
        <v>After</v>
      </c>
    </row>
    <row r="232" spans="1:16" x14ac:dyDescent="0.3">
      <c r="A232" t="s">
        <v>230</v>
      </c>
      <c r="B232" s="21" t="s">
        <v>31</v>
      </c>
      <c r="C232" s="5">
        <v>45610</v>
      </c>
      <c r="D232" s="21" t="s">
        <v>26</v>
      </c>
      <c r="E232" s="21" t="s">
        <v>11</v>
      </c>
      <c r="F232" s="22">
        <v>6300</v>
      </c>
      <c r="G232" s="22">
        <v>1213</v>
      </c>
      <c r="H232" s="22">
        <v>720</v>
      </c>
      <c r="I232" s="22">
        <v>1037</v>
      </c>
      <c r="J232" s="22">
        <v>39569</v>
      </c>
      <c r="K232" s="22">
        <v>85272</v>
      </c>
      <c r="L232" s="21" t="s">
        <v>63</v>
      </c>
      <c r="M232" s="4">
        <v>9.6549863964724647E-2</v>
      </c>
      <c r="N232" s="5">
        <f>_xlfn.XLOOKUP(L232,'Campaign Metadata'!$A$2:$A$6,'Campaign Metadata'!$B$2:$B$6)</f>
        <v>45458</v>
      </c>
      <c r="O232" s="5">
        <f>_xlfn.XLOOKUP(L232,'Campaign Metadata'!$A$2:$A$6,'Campaign Metadata'!$C$2:$C$6)</f>
        <v>45488</v>
      </c>
      <c r="P232" t="str">
        <f t="shared" si="3"/>
        <v>After</v>
      </c>
    </row>
    <row r="233" spans="1:16" x14ac:dyDescent="0.3">
      <c r="A233" t="s">
        <v>248</v>
      </c>
      <c r="B233" s="21" t="s">
        <v>32</v>
      </c>
      <c r="C233" s="5">
        <v>45613</v>
      </c>
      <c r="D233" s="21" t="s">
        <v>25</v>
      </c>
      <c r="E233" s="21" t="s">
        <v>5</v>
      </c>
      <c r="F233" s="22">
        <v>4219</v>
      </c>
      <c r="G233" s="22">
        <v>240</v>
      </c>
      <c r="H233" s="22">
        <v>670</v>
      </c>
      <c r="I233" s="22">
        <v>815</v>
      </c>
      <c r="J233" s="22">
        <v>11978</v>
      </c>
      <c r="K233" s="22">
        <v>159735</v>
      </c>
      <c r="L233" s="21" t="s">
        <v>63</v>
      </c>
      <c r="M233" s="4">
        <v>3.2109431245500357E-2</v>
      </c>
      <c r="N233" s="5">
        <f>_xlfn.XLOOKUP(L233,'Campaign Metadata'!$A$2:$A$6,'Campaign Metadata'!$B$2:$B$6)</f>
        <v>45458</v>
      </c>
      <c r="O233" s="5">
        <f>_xlfn.XLOOKUP(L233,'Campaign Metadata'!$A$2:$A$6,'Campaign Metadata'!$C$2:$C$6)</f>
        <v>45488</v>
      </c>
      <c r="P233" t="str">
        <f t="shared" si="3"/>
        <v>After</v>
      </c>
    </row>
    <row r="234" spans="1:16" x14ac:dyDescent="0.3">
      <c r="A234" t="s">
        <v>248</v>
      </c>
      <c r="B234" s="21" t="s">
        <v>32</v>
      </c>
      <c r="C234" s="5">
        <v>45613</v>
      </c>
      <c r="D234" s="21" t="s">
        <v>25</v>
      </c>
      <c r="E234" s="21" t="s">
        <v>6</v>
      </c>
      <c r="F234" s="22">
        <v>4219</v>
      </c>
      <c r="G234" s="22">
        <v>240</v>
      </c>
      <c r="H234" s="22">
        <v>670</v>
      </c>
      <c r="I234" s="22">
        <v>815</v>
      </c>
      <c r="J234" s="22">
        <v>11978</v>
      </c>
      <c r="K234" s="22">
        <v>159735</v>
      </c>
      <c r="L234" s="21" t="s">
        <v>63</v>
      </c>
      <c r="M234" s="4">
        <v>3.2109431245500357E-2</v>
      </c>
      <c r="N234" s="5">
        <f>_xlfn.XLOOKUP(L234,'Campaign Metadata'!$A$2:$A$6,'Campaign Metadata'!$B$2:$B$6)</f>
        <v>45458</v>
      </c>
      <c r="O234" s="5">
        <f>_xlfn.XLOOKUP(L234,'Campaign Metadata'!$A$2:$A$6,'Campaign Metadata'!$C$2:$C$6)</f>
        <v>45488</v>
      </c>
      <c r="P234" t="str">
        <f t="shared" si="3"/>
        <v>After</v>
      </c>
    </row>
    <row r="235" spans="1:16" x14ac:dyDescent="0.3">
      <c r="A235" t="s">
        <v>36</v>
      </c>
      <c r="B235" s="21" t="s">
        <v>32</v>
      </c>
      <c r="C235" s="5">
        <v>45614</v>
      </c>
      <c r="D235" s="21" t="s">
        <v>25</v>
      </c>
      <c r="E235" s="21" t="s">
        <v>6</v>
      </c>
      <c r="F235" s="22">
        <v>21255</v>
      </c>
      <c r="G235" s="22">
        <v>1452</v>
      </c>
      <c r="H235" s="22">
        <v>625</v>
      </c>
      <c r="I235" s="22">
        <v>1624</v>
      </c>
      <c r="J235" s="22">
        <v>21282</v>
      </c>
      <c r="K235" s="22">
        <v>57778</v>
      </c>
      <c r="L235" s="21" t="s">
        <v>65</v>
      </c>
      <c r="M235" s="4">
        <v>0.40382152376337016</v>
      </c>
      <c r="N235" s="5">
        <f>_xlfn.XLOOKUP(L235,'Campaign Metadata'!$A$2:$A$6,'Campaign Metadata'!$B$2:$B$6)</f>
        <v>45566</v>
      </c>
      <c r="O235" s="5">
        <f>_xlfn.XLOOKUP(L235,'Campaign Metadata'!$A$2:$A$6,'Campaign Metadata'!$C$2:$C$6)</f>
        <v>45596</v>
      </c>
      <c r="P235" t="str">
        <f t="shared" si="3"/>
        <v>After</v>
      </c>
    </row>
    <row r="236" spans="1:16" x14ac:dyDescent="0.3">
      <c r="A236" t="s">
        <v>36</v>
      </c>
      <c r="B236" s="21" t="s">
        <v>32</v>
      </c>
      <c r="C236" s="5">
        <v>45614</v>
      </c>
      <c r="D236" s="21" t="s">
        <v>25</v>
      </c>
      <c r="E236" s="21" t="s">
        <v>5</v>
      </c>
      <c r="F236" s="22">
        <v>21255</v>
      </c>
      <c r="G236" s="22">
        <v>1452</v>
      </c>
      <c r="H236" s="22">
        <v>625</v>
      </c>
      <c r="I236" s="22">
        <v>1624</v>
      </c>
      <c r="J236" s="22">
        <v>21282</v>
      </c>
      <c r="K236" s="22">
        <v>57778</v>
      </c>
      <c r="L236" s="21" t="s">
        <v>65</v>
      </c>
      <c r="M236" s="4">
        <v>0.40382152376337016</v>
      </c>
      <c r="N236" s="5">
        <f>_xlfn.XLOOKUP(L236,'Campaign Metadata'!$A$2:$A$6,'Campaign Metadata'!$B$2:$B$6)</f>
        <v>45566</v>
      </c>
      <c r="O236" s="5">
        <f>_xlfn.XLOOKUP(L236,'Campaign Metadata'!$A$2:$A$6,'Campaign Metadata'!$C$2:$C$6)</f>
        <v>45596</v>
      </c>
      <c r="P236" t="str">
        <f t="shared" si="3"/>
        <v>After</v>
      </c>
    </row>
    <row r="237" spans="1:16" x14ac:dyDescent="0.3">
      <c r="A237" t="s">
        <v>151</v>
      </c>
      <c r="B237" s="21" t="s">
        <v>32</v>
      </c>
      <c r="C237" s="5">
        <v>45617</v>
      </c>
      <c r="D237" s="21" t="s">
        <v>26</v>
      </c>
      <c r="E237" s="21" t="s">
        <v>9</v>
      </c>
      <c r="F237" s="22">
        <v>8229</v>
      </c>
      <c r="G237" s="22">
        <v>977</v>
      </c>
      <c r="H237" s="22">
        <v>152</v>
      </c>
      <c r="I237" s="22">
        <v>1633</v>
      </c>
      <c r="J237" s="22">
        <v>71447</v>
      </c>
      <c r="K237" s="22">
        <v>67723</v>
      </c>
      <c r="L237" s="21" t="s">
        <v>65</v>
      </c>
      <c r="M237" s="4">
        <v>0.13818052950991538</v>
      </c>
      <c r="N237" s="5">
        <f>_xlfn.XLOOKUP(L237,'Campaign Metadata'!$A$2:$A$6,'Campaign Metadata'!$B$2:$B$6)</f>
        <v>45566</v>
      </c>
      <c r="O237" s="5">
        <f>_xlfn.XLOOKUP(L237,'Campaign Metadata'!$A$2:$A$6,'Campaign Metadata'!$C$2:$C$6)</f>
        <v>45596</v>
      </c>
      <c r="P237" t="str">
        <f t="shared" si="3"/>
        <v>After</v>
      </c>
    </row>
    <row r="238" spans="1:16" x14ac:dyDescent="0.3">
      <c r="A238" t="s">
        <v>151</v>
      </c>
      <c r="B238" s="21" t="s">
        <v>32</v>
      </c>
      <c r="C238" s="5">
        <v>45617</v>
      </c>
      <c r="D238" s="21" t="s">
        <v>26</v>
      </c>
      <c r="E238" s="21" t="s">
        <v>7</v>
      </c>
      <c r="F238" s="22">
        <v>8229</v>
      </c>
      <c r="G238" s="22">
        <v>977</v>
      </c>
      <c r="H238" s="22">
        <v>152</v>
      </c>
      <c r="I238" s="22">
        <v>1633</v>
      </c>
      <c r="J238" s="22">
        <v>71447</v>
      </c>
      <c r="K238" s="22">
        <v>67723</v>
      </c>
      <c r="L238" s="21" t="s">
        <v>65</v>
      </c>
      <c r="M238" s="4">
        <v>0.13818052950991538</v>
      </c>
      <c r="N238" s="5">
        <f>_xlfn.XLOOKUP(L238,'Campaign Metadata'!$A$2:$A$6,'Campaign Metadata'!$B$2:$B$6)</f>
        <v>45566</v>
      </c>
      <c r="O238" s="5">
        <f>_xlfn.XLOOKUP(L238,'Campaign Metadata'!$A$2:$A$6,'Campaign Metadata'!$C$2:$C$6)</f>
        <v>45596</v>
      </c>
      <c r="P238" t="str">
        <f t="shared" si="3"/>
        <v>After</v>
      </c>
    </row>
    <row r="239" spans="1:16" x14ac:dyDescent="0.3">
      <c r="A239" t="s">
        <v>193</v>
      </c>
      <c r="B239" s="21" t="s">
        <v>30</v>
      </c>
      <c r="C239" s="5">
        <v>45619</v>
      </c>
      <c r="D239" s="21" t="s">
        <v>27</v>
      </c>
      <c r="E239" s="21" t="s">
        <v>18</v>
      </c>
      <c r="F239" s="22">
        <v>9941</v>
      </c>
      <c r="G239" s="22">
        <v>1329</v>
      </c>
      <c r="H239" s="22">
        <v>238</v>
      </c>
      <c r="I239" s="22">
        <v>869</v>
      </c>
      <c r="J239" s="22">
        <v>40281</v>
      </c>
      <c r="K239" s="22">
        <v>172311</v>
      </c>
      <c r="L239" s="21" t="s">
        <v>60</v>
      </c>
      <c r="M239" s="4">
        <v>6.6786217943137702E-2</v>
      </c>
      <c r="N239" s="5">
        <f>_xlfn.XLOOKUP(L239,'Campaign Metadata'!$A$2:$A$6,'Campaign Metadata'!$B$2:$B$6)</f>
        <v>45717</v>
      </c>
      <c r="O239" s="5">
        <f>_xlfn.XLOOKUP(L239,'Campaign Metadata'!$A$2:$A$6,'Campaign Metadata'!$C$2:$C$6)</f>
        <v>45747</v>
      </c>
      <c r="P239" t="str">
        <f t="shared" si="3"/>
        <v>Before</v>
      </c>
    </row>
    <row r="240" spans="1:16" x14ac:dyDescent="0.3">
      <c r="A240" t="s">
        <v>106</v>
      </c>
      <c r="B240" s="21" t="s">
        <v>31</v>
      </c>
      <c r="C240" s="5">
        <v>45621</v>
      </c>
      <c r="D240" s="21" t="s">
        <v>28</v>
      </c>
      <c r="E240" s="21" t="s">
        <v>3</v>
      </c>
      <c r="F240" s="22">
        <v>17385</v>
      </c>
      <c r="G240" s="22">
        <v>831</v>
      </c>
      <c r="H240" s="22">
        <v>568</v>
      </c>
      <c r="I240" s="22">
        <v>2227</v>
      </c>
      <c r="J240" s="22">
        <v>49351</v>
      </c>
      <c r="K240" s="22">
        <v>207450</v>
      </c>
      <c r="L240" s="21" t="s">
        <v>60</v>
      </c>
      <c r="M240" s="4">
        <v>9.0547119787900698E-2</v>
      </c>
      <c r="N240" s="5">
        <f>_xlfn.XLOOKUP(L240,'Campaign Metadata'!$A$2:$A$6,'Campaign Metadata'!$B$2:$B$6)</f>
        <v>45717</v>
      </c>
      <c r="O240" s="5">
        <f>_xlfn.XLOOKUP(L240,'Campaign Metadata'!$A$2:$A$6,'Campaign Metadata'!$C$2:$C$6)</f>
        <v>45747</v>
      </c>
      <c r="P240" t="str">
        <f t="shared" si="3"/>
        <v>Before</v>
      </c>
    </row>
    <row r="241" spans="1:16" x14ac:dyDescent="0.3">
      <c r="A241" t="s">
        <v>106</v>
      </c>
      <c r="B241" s="21" t="s">
        <v>31</v>
      </c>
      <c r="C241" s="5">
        <v>45621</v>
      </c>
      <c r="D241" s="21" t="s">
        <v>28</v>
      </c>
      <c r="E241" s="21" t="s">
        <v>14</v>
      </c>
      <c r="F241" s="22">
        <v>17385</v>
      </c>
      <c r="G241" s="22">
        <v>831</v>
      </c>
      <c r="H241" s="22">
        <v>568</v>
      </c>
      <c r="I241" s="22">
        <v>2227</v>
      </c>
      <c r="J241" s="22">
        <v>49351</v>
      </c>
      <c r="K241" s="22">
        <v>207450</v>
      </c>
      <c r="L241" s="21" t="s">
        <v>60</v>
      </c>
      <c r="M241" s="4">
        <v>9.0547119787900698E-2</v>
      </c>
      <c r="N241" s="5">
        <f>_xlfn.XLOOKUP(L241,'Campaign Metadata'!$A$2:$A$6,'Campaign Metadata'!$B$2:$B$6)</f>
        <v>45717</v>
      </c>
      <c r="O241" s="5">
        <f>_xlfn.XLOOKUP(L241,'Campaign Metadata'!$A$2:$A$6,'Campaign Metadata'!$C$2:$C$6)</f>
        <v>45747</v>
      </c>
      <c r="P241" t="str">
        <f t="shared" si="3"/>
        <v>Before</v>
      </c>
    </row>
    <row r="242" spans="1:16" x14ac:dyDescent="0.3">
      <c r="A242" t="s">
        <v>235</v>
      </c>
      <c r="B242" s="21" t="s">
        <v>31</v>
      </c>
      <c r="C242" s="5">
        <v>45622</v>
      </c>
      <c r="D242" s="21" t="s">
        <v>28</v>
      </c>
      <c r="E242" s="21" t="s">
        <v>5</v>
      </c>
      <c r="F242" s="22">
        <v>14607</v>
      </c>
      <c r="G242" s="22">
        <v>1458</v>
      </c>
      <c r="H242" s="22">
        <v>478</v>
      </c>
      <c r="I242" s="22">
        <v>334</v>
      </c>
      <c r="J242" s="22">
        <v>49257</v>
      </c>
      <c r="K242" s="22">
        <v>214668</v>
      </c>
      <c r="L242" s="21" t="s">
        <v>63</v>
      </c>
      <c r="M242" s="4">
        <v>7.7063185942944451E-2</v>
      </c>
      <c r="N242" s="5">
        <f>_xlfn.XLOOKUP(L242,'Campaign Metadata'!$A$2:$A$6,'Campaign Metadata'!$B$2:$B$6)</f>
        <v>45458</v>
      </c>
      <c r="O242" s="5">
        <f>_xlfn.XLOOKUP(L242,'Campaign Metadata'!$A$2:$A$6,'Campaign Metadata'!$C$2:$C$6)</f>
        <v>45488</v>
      </c>
      <c r="P242" t="str">
        <f t="shared" si="3"/>
        <v>After</v>
      </c>
    </row>
    <row r="243" spans="1:16" x14ac:dyDescent="0.3">
      <c r="A243" t="s">
        <v>235</v>
      </c>
      <c r="B243" s="21" t="s">
        <v>31</v>
      </c>
      <c r="C243" s="5">
        <v>45622</v>
      </c>
      <c r="D243" s="21" t="s">
        <v>28</v>
      </c>
      <c r="E243" s="21" t="s">
        <v>6</v>
      </c>
      <c r="F243" s="22">
        <v>14607</v>
      </c>
      <c r="G243" s="22">
        <v>1458</v>
      </c>
      <c r="H243" s="22">
        <v>478</v>
      </c>
      <c r="I243" s="22">
        <v>334</v>
      </c>
      <c r="J243" s="22">
        <v>49257</v>
      </c>
      <c r="K243" s="22">
        <v>214668</v>
      </c>
      <c r="L243" s="21" t="s">
        <v>63</v>
      </c>
      <c r="M243" s="4">
        <v>7.7063185942944451E-2</v>
      </c>
      <c r="N243" s="5">
        <f>_xlfn.XLOOKUP(L243,'Campaign Metadata'!$A$2:$A$6,'Campaign Metadata'!$B$2:$B$6)</f>
        <v>45458</v>
      </c>
      <c r="O243" s="5">
        <f>_xlfn.XLOOKUP(L243,'Campaign Metadata'!$A$2:$A$6,'Campaign Metadata'!$C$2:$C$6)</f>
        <v>45488</v>
      </c>
      <c r="P243" t="str">
        <f t="shared" si="3"/>
        <v>After</v>
      </c>
    </row>
    <row r="244" spans="1:16" x14ac:dyDescent="0.3">
      <c r="A244" t="s">
        <v>86</v>
      </c>
      <c r="B244" s="21" t="s">
        <v>32</v>
      </c>
      <c r="C244" s="5">
        <v>45624</v>
      </c>
      <c r="D244" s="21" t="s">
        <v>25</v>
      </c>
      <c r="E244" s="21" t="s">
        <v>3</v>
      </c>
      <c r="F244" s="22">
        <v>19055</v>
      </c>
      <c r="G244" s="22">
        <v>443</v>
      </c>
      <c r="H244" s="22">
        <v>976</v>
      </c>
      <c r="I244" s="22">
        <v>869</v>
      </c>
      <c r="J244" s="22">
        <v>75437</v>
      </c>
      <c r="K244" s="22">
        <v>161863</v>
      </c>
      <c r="L244" s="21" t="s">
        <v>60</v>
      </c>
      <c r="M244" s="4">
        <v>0.12648968572187591</v>
      </c>
      <c r="N244" s="5">
        <f>_xlfn.XLOOKUP(L244,'Campaign Metadata'!$A$2:$A$6,'Campaign Metadata'!$B$2:$B$6)</f>
        <v>45717</v>
      </c>
      <c r="O244" s="5">
        <f>_xlfn.XLOOKUP(L244,'Campaign Metadata'!$A$2:$A$6,'Campaign Metadata'!$C$2:$C$6)</f>
        <v>45747</v>
      </c>
      <c r="P244" t="str">
        <f t="shared" si="3"/>
        <v>Before</v>
      </c>
    </row>
    <row r="245" spans="1:16" x14ac:dyDescent="0.3">
      <c r="A245" t="s">
        <v>86</v>
      </c>
      <c r="B245" s="21" t="s">
        <v>32</v>
      </c>
      <c r="C245" s="5">
        <v>45624</v>
      </c>
      <c r="D245" s="21" t="s">
        <v>25</v>
      </c>
      <c r="E245" s="21" t="s">
        <v>14</v>
      </c>
      <c r="F245" s="22">
        <v>19055</v>
      </c>
      <c r="G245" s="22">
        <v>443</v>
      </c>
      <c r="H245" s="22">
        <v>976</v>
      </c>
      <c r="I245" s="22">
        <v>869</v>
      </c>
      <c r="J245" s="22">
        <v>75437</v>
      </c>
      <c r="K245" s="22">
        <v>161863</v>
      </c>
      <c r="L245" s="21" t="s">
        <v>60</v>
      </c>
      <c r="M245" s="4">
        <v>0.12648968572187591</v>
      </c>
      <c r="N245" s="5">
        <f>_xlfn.XLOOKUP(L245,'Campaign Metadata'!$A$2:$A$6,'Campaign Metadata'!$B$2:$B$6)</f>
        <v>45717</v>
      </c>
      <c r="O245" s="5">
        <f>_xlfn.XLOOKUP(L245,'Campaign Metadata'!$A$2:$A$6,'Campaign Metadata'!$C$2:$C$6)</f>
        <v>45747</v>
      </c>
      <c r="P245" t="str">
        <f t="shared" si="3"/>
        <v>Before</v>
      </c>
    </row>
    <row r="246" spans="1:16" x14ac:dyDescent="0.3">
      <c r="A246" t="s">
        <v>140</v>
      </c>
      <c r="B246" s="21" t="s">
        <v>30</v>
      </c>
      <c r="C246" s="5">
        <v>45624</v>
      </c>
      <c r="D246" s="21" t="s">
        <v>25</v>
      </c>
      <c r="E246" s="21" t="s">
        <v>3</v>
      </c>
      <c r="F246" s="22">
        <v>2302</v>
      </c>
      <c r="G246" s="22">
        <v>347</v>
      </c>
      <c r="H246" s="22">
        <v>642</v>
      </c>
      <c r="I246" s="22">
        <v>2175</v>
      </c>
      <c r="J246" s="22">
        <v>56378</v>
      </c>
      <c r="K246" s="22">
        <v>198056</v>
      </c>
      <c r="L246" s="21" t="s">
        <v>65</v>
      </c>
      <c r="M246" s="4">
        <v>1.6616512501514722E-2</v>
      </c>
      <c r="N246" s="5">
        <f>_xlfn.XLOOKUP(L246,'Campaign Metadata'!$A$2:$A$6,'Campaign Metadata'!$B$2:$B$6)</f>
        <v>45566</v>
      </c>
      <c r="O246" s="5">
        <f>_xlfn.XLOOKUP(L246,'Campaign Metadata'!$A$2:$A$6,'Campaign Metadata'!$C$2:$C$6)</f>
        <v>45596</v>
      </c>
      <c r="P246" t="str">
        <f t="shared" si="3"/>
        <v>After</v>
      </c>
    </row>
    <row r="247" spans="1:16" x14ac:dyDescent="0.3">
      <c r="A247" t="s">
        <v>140</v>
      </c>
      <c r="B247" s="21" t="s">
        <v>30</v>
      </c>
      <c r="C247" s="5">
        <v>45624</v>
      </c>
      <c r="D247" s="21" t="s">
        <v>25</v>
      </c>
      <c r="E247" s="21" t="s">
        <v>13</v>
      </c>
      <c r="F247" s="22">
        <v>2302</v>
      </c>
      <c r="G247" s="22">
        <v>347</v>
      </c>
      <c r="H247" s="22">
        <v>642</v>
      </c>
      <c r="I247" s="22">
        <v>2175</v>
      </c>
      <c r="J247" s="22">
        <v>56378</v>
      </c>
      <c r="K247" s="22">
        <v>198056</v>
      </c>
      <c r="L247" s="21" t="s">
        <v>65</v>
      </c>
      <c r="M247" s="4">
        <v>1.6616512501514722E-2</v>
      </c>
      <c r="N247" s="5">
        <f>_xlfn.XLOOKUP(L247,'Campaign Metadata'!$A$2:$A$6,'Campaign Metadata'!$B$2:$B$6)</f>
        <v>45566</v>
      </c>
      <c r="O247" s="5">
        <f>_xlfn.XLOOKUP(L247,'Campaign Metadata'!$A$2:$A$6,'Campaign Metadata'!$C$2:$C$6)</f>
        <v>45596</v>
      </c>
      <c r="P247" t="str">
        <f t="shared" si="3"/>
        <v>After</v>
      </c>
    </row>
    <row r="248" spans="1:16" x14ac:dyDescent="0.3">
      <c r="A248" t="s">
        <v>172</v>
      </c>
      <c r="B248" s="21" t="s">
        <v>29</v>
      </c>
      <c r="C248" s="5">
        <v>45624</v>
      </c>
      <c r="D248" s="21" t="s">
        <v>25</v>
      </c>
      <c r="E248" s="21" t="s">
        <v>5</v>
      </c>
      <c r="F248" s="22">
        <v>18644</v>
      </c>
      <c r="G248" s="22">
        <v>1369</v>
      </c>
      <c r="H248" s="22">
        <v>887</v>
      </c>
      <c r="I248" s="22">
        <v>1256</v>
      </c>
      <c r="J248" s="22">
        <v>43415</v>
      </c>
      <c r="K248" s="22">
        <v>88368</v>
      </c>
      <c r="L248" s="21" t="s">
        <v>60</v>
      </c>
      <c r="M248" s="4">
        <v>0.23651095419156257</v>
      </c>
      <c r="N248" s="5">
        <f>_xlfn.XLOOKUP(L248,'Campaign Metadata'!$A$2:$A$6,'Campaign Metadata'!$B$2:$B$6)</f>
        <v>45717</v>
      </c>
      <c r="O248" s="5">
        <f>_xlfn.XLOOKUP(L248,'Campaign Metadata'!$A$2:$A$6,'Campaign Metadata'!$C$2:$C$6)</f>
        <v>45747</v>
      </c>
      <c r="P248" t="str">
        <f t="shared" si="3"/>
        <v>Before</v>
      </c>
    </row>
    <row r="249" spans="1:16" x14ac:dyDescent="0.3">
      <c r="A249" t="s">
        <v>172</v>
      </c>
      <c r="B249" s="21" t="s">
        <v>29</v>
      </c>
      <c r="C249" s="5">
        <v>45624</v>
      </c>
      <c r="D249" s="21" t="s">
        <v>25</v>
      </c>
      <c r="E249" s="21" t="s">
        <v>6</v>
      </c>
      <c r="F249" s="22">
        <v>18644</v>
      </c>
      <c r="G249" s="22">
        <v>1369</v>
      </c>
      <c r="H249" s="22">
        <v>887</v>
      </c>
      <c r="I249" s="22">
        <v>1256</v>
      </c>
      <c r="J249" s="22">
        <v>43415</v>
      </c>
      <c r="K249" s="22">
        <v>88368</v>
      </c>
      <c r="L249" s="21" t="s">
        <v>60</v>
      </c>
      <c r="M249" s="4">
        <v>0.23651095419156257</v>
      </c>
      <c r="N249" s="5">
        <f>_xlfn.XLOOKUP(L249,'Campaign Metadata'!$A$2:$A$6,'Campaign Metadata'!$B$2:$B$6)</f>
        <v>45717</v>
      </c>
      <c r="O249" s="5">
        <f>_xlfn.XLOOKUP(L249,'Campaign Metadata'!$A$2:$A$6,'Campaign Metadata'!$C$2:$C$6)</f>
        <v>45747</v>
      </c>
      <c r="P249" t="str">
        <f t="shared" si="3"/>
        <v>Before</v>
      </c>
    </row>
    <row r="250" spans="1:16" x14ac:dyDescent="0.3">
      <c r="A250" t="s">
        <v>103</v>
      </c>
      <c r="B250" s="21" t="s">
        <v>31</v>
      </c>
      <c r="C250" s="5">
        <v>45626</v>
      </c>
      <c r="D250" s="21" t="s">
        <v>28</v>
      </c>
      <c r="E250" s="21" t="s">
        <v>3</v>
      </c>
      <c r="F250" s="22">
        <v>14763</v>
      </c>
      <c r="G250" s="22">
        <v>864</v>
      </c>
      <c r="H250" s="22">
        <v>336</v>
      </c>
      <c r="I250" s="22">
        <v>1493</v>
      </c>
      <c r="J250" s="22">
        <v>33310</v>
      </c>
      <c r="K250" s="22">
        <v>165932</v>
      </c>
      <c r="L250" s="21" t="s">
        <v>63</v>
      </c>
      <c r="M250" s="4">
        <v>9.6202058674637797E-2</v>
      </c>
      <c r="N250" s="5">
        <f>_xlfn.XLOOKUP(L250,'Campaign Metadata'!$A$2:$A$6,'Campaign Metadata'!$B$2:$B$6)</f>
        <v>45458</v>
      </c>
      <c r="O250" s="5">
        <f>_xlfn.XLOOKUP(L250,'Campaign Metadata'!$A$2:$A$6,'Campaign Metadata'!$C$2:$C$6)</f>
        <v>45488</v>
      </c>
      <c r="P250" t="str">
        <f t="shared" si="3"/>
        <v>After</v>
      </c>
    </row>
    <row r="251" spans="1:16" x14ac:dyDescent="0.3">
      <c r="A251" t="s">
        <v>103</v>
      </c>
      <c r="B251" s="21" t="s">
        <v>31</v>
      </c>
      <c r="C251" s="5">
        <v>45626</v>
      </c>
      <c r="D251" s="21" t="s">
        <v>28</v>
      </c>
      <c r="E251" s="21" t="s">
        <v>13</v>
      </c>
      <c r="F251" s="22">
        <v>14763</v>
      </c>
      <c r="G251" s="22">
        <v>864</v>
      </c>
      <c r="H251" s="22">
        <v>336</v>
      </c>
      <c r="I251" s="22">
        <v>1493</v>
      </c>
      <c r="J251" s="22">
        <v>33310</v>
      </c>
      <c r="K251" s="22">
        <v>165932</v>
      </c>
      <c r="L251" s="21" t="s">
        <v>63</v>
      </c>
      <c r="M251" s="4">
        <v>9.6202058674637797E-2</v>
      </c>
      <c r="N251" s="5">
        <f>_xlfn.XLOOKUP(L251,'Campaign Metadata'!$A$2:$A$6,'Campaign Metadata'!$B$2:$B$6)</f>
        <v>45458</v>
      </c>
      <c r="O251" s="5">
        <f>_xlfn.XLOOKUP(L251,'Campaign Metadata'!$A$2:$A$6,'Campaign Metadata'!$C$2:$C$6)</f>
        <v>45488</v>
      </c>
      <c r="P251" t="str">
        <f t="shared" si="3"/>
        <v>After</v>
      </c>
    </row>
    <row r="252" spans="1:16" x14ac:dyDescent="0.3">
      <c r="A252" t="s">
        <v>288</v>
      </c>
      <c r="B252" s="21" t="s">
        <v>32</v>
      </c>
      <c r="C252" s="5">
        <v>45629</v>
      </c>
      <c r="D252" s="21" t="s">
        <v>26</v>
      </c>
      <c r="E252" s="21" t="s">
        <v>5</v>
      </c>
      <c r="F252" s="22">
        <v>2055</v>
      </c>
      <c r="G252" s="22">
        <v>675</v>
      </c>
      <c r="H252" s="22">
        <v>257</v>
      </c>
      <c r="I252" s="22">
        <v>820</v>
      </c>
      <c r="J252" s="22">
        <v>33534</v>
      </c>
      <c r="K252" s="22">
        <v>48125</v>
      </c>
      <c r="L252" s="21" t="s">
        <v>59</v>
      </c>
      <c r="M252" s="4">
        <v>6.2067532467532466E-2</v>
      </c>
      <c r="N252" s="5">
        <f>_xlfn.XLOOKUP(L252,'Campaign Metadata'!$A$2:$A$6,'Campaign Metadata'!$B$2:$B$6)</f>
        <v>45651</v>
      </c>
      <c r="O252" s="5">
        <f>_xlfn.XLOOKUP(L252,'Campaign Metadata'!$A$2:$A$6,'Campaign Metadata'!$C$2:$C$6)</f>
        <v>45667</v>
      </c>
      <c r="P252" t="str">
        <f t="shared" si="3"/>
        <v>Before</v>
      </c>
    </row>
    <row r="253" spans="1:16" x14ac:dyDescent="0.3">
      <c r="A253" t="s">
        <v>288</v>
      </c>
      <c r="B253" s="21" t="s">
        <v>32</v>
      </c>
      <c r="C253" s="5">
        <v>45629</v>
      </c>
      <c r="D253" s="21" t="s">
        <v>26</v>
      </c>
      <c r="E253" s="21" t="s">
        <v>6</v>
      </c>
      <c r="F253" s="22">
        <v>2055</v>
      </c>
      <c r="G253" s="22">
        <v>675</v>
      </c>
      <c r="H253" s="22">
        <v>257</v>
      </c>
      <c r="I253" s="22">
        <v>820</v>
      </c>
      <c r="J253" s="22">
        <v>33534</v>
      </c>
      <c r="K253" s="22">
        <v>48125</v>
      </c>
      <c r="L253" s="21" t="s">
        <v>59</v>
      </c>
      <c r="M253" s="4">
        <v>6.2067532467532466E-2</v>
      </c>
      <c r="N253" s="5">
        <f>_xlfn.XLOOKUP(L253,'Campaign Metadata'!$A$2:$A$6,'Campaign Metadata'!$B$2:$B$6)</f>
        <v>45651</v>
      </c>
      <c r="O253" s="5">
        <f>_xlfn.XLOOKUP(L253,'Campaign Metadata'!$A$2:$A$6,'Campaign Metadata'!$C$2:$C$6)</f>
        <v>45667</v>
      </c>
      <c r="P253" t="str">
        <f t="shared" si="3"/>
        <v>Before</v>
      </c>
    </row>
    <row r="254" spans="1:16" x14ac:dyDescent="0.3">
      <c r="A254" t="s">
        <v>137</v>
      </c>
      <c r="B254" s="21" t="s">
        <v>32</v>
      </c>
      <c r="C254" s="5">
        <v>45631</v>
      </c>
      <c r="D254" s="21" t="s">
        <v>27</v>
      </c>
      <c r="E254" s="21" t="s">
        <v>3</v>
      </c>
      <c r="F254" s="22">
        <v>4125</v>
      </c>
      <c r="G254" s="22">
        <v>1364</v>
      </c>
      <c r="H254" s="22">
        <v>319</v>
      </c>
      <c r="I254" s="22">
        <v>2848</v>
      </c>
      <c r="J254" s="22">
        <v>15379</v>
      </c>
      <c r="K254" s="22">
        <v>188159</v>
      </c>
      <c r="L254" s="21" t="s">
        <v>65</v>
      </c>
      <c r="M254" s="4">
        <v>3.0867510988047343E-2</v>
      </c>
      <c r="N254" s="5">
        <f>_xlfn.XLOOKUP(L254,'Campaign Metadata'!$A$2:$A$6,'Campaign Metadata'!$B$2:$B$6)</f>
        <v>45566</v>
      </c>
      <c r="O254" s="5">
        <f>_xlfn.XLOOKUP(L254,'Campaign Metadata'!$A$2:$A$6,'Campaign Metadata'!$C$2:$C$6)</f>
        <v>45596</v>
      </c>
      <c r="P254" t="str">
        <f t="shared" si="3"/>
        <v>After</v>
      </c>
    </row>
    <row r="255" spans="1:16" x14ac:dyDescent="0.3">
      <c r="A255" t="s">
        <v>137</v>
      </c>
      <c r="B255" s="21" t="s">
        <v>32</v>
      </c>
      <c r="C255" s="5">
        <v>45631</v>
      </c>
      <c r="D255" s="21" t="s">
        <v>27</v>
      </c>
      <c r="E255" s="21" t="s">
        <v>13</v>
      </c>
      <c r="F255" s="22">
        <v>4125</v>
      </c>
      <c r="G255" s="22">
        <v>1364</v>
      </c>
      <c r="H255" s="22">
        <v>319</v>
      </c>
      <c r="I255" s="22">
        <v>2848</v>
      </c>
      <c r="J255" s="22">
        <v>15379</v>
      </c>
      <c r="K255" s="22">
        <v>188159</v>
      </c>
      <c r="L255" s="21" t="s">
        <v>65</v>
      </c>
      <c r="M255" s="4">
        <v>3.0867510988047343E-2</v>
      </c>
      <c r="N255" s="5">
        <f>_xlfn.XLOOKUP(L255,'Campaign Metadata'!$A$2:$A$6,'Campaign Metadata'!$B$2:$B$6)</f>
        <v>45566</v>
      </c>
      <c r="O255" s="5">
        <f>_xlfn.XLOOKUP(L255,'Campaign Metadata'!$A$2:$A$6,'Campaign Metadata'!$C$2:$C$6)</f>
        <v>45596</v>
      </c>
      <c r="P255" t="str">
        <f t="shared" si="3"/>
        <v>After</v>
      </c>
    </row>
    <row r="256" spans="1:16" x14ac:dyDescent="0.3">
      <c r="A256" t="s">
        <v>174</v>
      </c>
      <c r="B256" s="21" t="s">
        <v>29</v>
      </c>
      <c r="C256" s="5">
        <v>45634</v>
      </c>
      <c r="D256" s="21" t="s">
        <v>28</v>
      </c>
      <c r="E256" s="21" t="s">
        <v>4</v>
      </c>
      <c r="F256" s="22">
        <v>10427</v>
      </c>
      <c r="G256" s="22">
        <v>1014</v>
      </c>
      <c r="H256" s="22">
        <v>166</v>
      </c>
      <c r="I256" s="22">
        <v>1649</v>
      </c>
      <c r="J256" s="22">
        <v>15145</v>
      </c>
      <c r="K256" s="22">
        <v>59816</v>
      </c>
      <c r="L256" s="21" t="s">
        <v>60</v>
      </c>
      <c r="M256" s="4">
        <v>0.19404507155276179</v>
      </c>
      <c r="N256" s="5">
        <f>_xlfn.XLOOKUP(L256,'Campaign Metadata'!$A$2:$A$6,'Campaign Metadata'!$B$2:$B$6)</f>
        <v>45717</v>
      </c>
      <c r="O256" s="5">
        <f>_xlfn.XLOOKUP(L256,'Campaign Metadata'!$A$2:$A$6,'Campaign Metadata'!$C$2:$C$6)</f>
        <v>45747</v>
      </c>
      <c r="P256" t="str">
        <f t="shared" si="3"/>
        <v>Before</v>
      </c>
    </row>
    <row r="257" spans="1:16" x14ac:dyDescent="0.3">
      <c r="A257" t="s">
        <v>174</v>
      </c>
      <c r="B257" s="21" t="s">
        <v>29</v>
      </c>
      <c r="C257" s="5">
        <v>45634</v>
      </c>
      <c r="D257" s="21" t="s">
        <v>28</v>
      </c>
      <c r="E257" s="21" t="s">
        <v>16</v>
      </c>
      <c r="F257" s="22">
        <v>10427</v>
      </c>
      <c r="G257" s="22">
        <v>1014</v>
      </c>
      <c r="H257" s="22">
        <v>166</v>
      </c>
      <c r="I257" s="22">
        <v>1649</v>
      </c>
      <c r="J257" s="22">
        <v>15145</v>
      </c>
      <c r="K257" s="22">
        <v>59816</v>
      </c>
      <c r="L257" s="21" t="s">
        <v>60</v>
      </c>
      <c r="M257" s="4">
        <v>0.19404507155276179</v>
      </c>
      <c r="N257" s="5">
        <f>_xlfn.XLOOKUP(L257,'Campaign Metadata'!$A$2:$A$6,'Campaign Metadata'!$B$2:$B$6)</f>
        <v>45717</v>
      </c>
      <c r="O257" s="5">
        <f>_xlfn.XLOOKUP(L257,'Campaign Metadata'!$A$2:$A$6,'Campaign Metadata'!$C$2:$C$6)</f>
        <v>45747</v>
      </c>
      <c r="P257" t="str">
        <f t="shared" si="3"/>
        <v>Before</v>
      </c>
    </row>
    <row r="258" spans="1:16" x14ac:dyDescent="0.3">
      <c r="A258" t="s">
        <v>223</v>
      </c>
      <c r="B258" s="21" t="s">
        <v>30</v>
      </c>
      <c r="C258" s="5">
        <v>45635</v>
      </c>
      <c r="D258" s="21" t="s">
        <v>26</v>
      </c>
      <c r="E258" s="21" t="s">
        <v>4</v>
      </c>
      <c r="F258" s="22">
        <v>15051</v>
      </c>
      <c r="G258" s="22">
        <v>268</v>
      </c>
      <c r="H258" s="22">
        <v>251</v>
      </c>
      <c r="I258" s="22">
        <v>783</v>
      </c>
      <c r="J258" s="22">
        <v>34154</v>
      </c>
      <c r="K258" s="22">
        <v>119671</v>
      </c>
      <c r="L258" s="21" t="s">
        <v>63</v>
      </c>
      <c r="M258" s="4">
        <v>0.13010670922779954</v>
      </c>
      <c r="N258" s="5">
        <f>_xlfn.XLOOKUP(L258,'Campaign Metadata'!$A$2:$A$6,'Campaign Metadata'!$B$2:$B$6)</f>
        <v>45458</v>
      </c>
      <c r="O258" s="5">
        <f>_xlfn.XLOOKUP(L258,'Campaign Metadata'!$A$2:$A$6,'Campaign Metadata'!$C$2:$C$6)</f>
        <v>45488</v>
      </c>
      <c r="P258" t="str">
        <f t="shared" si="3"/>
        <v>After</v>
      </c>
    </row>
    <row r="259" spans="1:16" x14ac:dyDescent="0.3">
      <c r="A259" t="s">
        <v>223</v>
      </c>
      <c r="B259" s="21" t="s">
        <v>30</v>
      </c>
      <c r="C259" s="5">
        <v>45635</v>
      </c>
      <c r="D259" s="21" t="s">
        <v>26</v>
      </c>
      <c r="E259" s="21" t="s">
        <v>16</v>
      </c>
      <c r="F259" s="22">
        <v>15051</v>
      </c>
      <c r="G259" s="22">
        <v>268</v>
      </c>
      <c r="H259" s="22">
        <v>251</v>
      </c>
      <c r="I259" s="22">
        <v>783</v>
      </c>
      <c r="J259" s="22">
        <v>34154</v>
      </c>
      <c r="K259" s="22">
        <v>119671</v>
      </c>
      <c r="L259" s="21" t="s">
        <v>63</v>
      </c>
      <c r="M259" s="4">
        <v>0.13010670922779954</v>
      </c>
      <c r="N259" s="5">
        <f>_xlfn.XLOOKUP(L259,'Campaign Metadata'!$A$2:$A$6,'Campaign Metadata'!$B$2:$B$6)</f>
        <v>45458</v>
      </c>
      <c r="O259" s="5">
        <f>_xlfn.XLOOKUP(L259,'Campaign Metadata'!$A$2:$A$6,'Campaign Metadata'!$C$2:$C$6)</f>
        <v>45488</v>
      </c>
      <c r="P259" t="str">
        <f t="shared" ref="P259:P322" si="4">IF(C259&lt;N259, "Before", IF(C259&gt;O259, "After", "During"))</f>
        <v>After</v>
      </c>
    </row>
    <row r="260" spans="1:16" x14ac:dyDescent="0.3">
      <c r="A260" t="s">
        <v>69</v>
      </c>
      <c r="B260" s="21" t="s">
        <v>31</v>
      </c>
      <c r="C260" s="5">
        <v>45637</v>
      </c>
      <c r="D260" s="21" t="s">
        <v>25</v>
      </c>
      <c r="E260" s="21" t="s">
        <v>3</v>
      </c>
      <c r="F260" s="22">
        <v>22645</v>
      </c>
      <c r="G260" s="22">
        <v>545</v>
      </c>
      <c r="H260" s="22">
        <v>972</v>
      </c>
      <c r="I260" s="22">
        <v>321</v>
      </c>
      <c r="J260" s="22">
        <v>8396</v>
      </c>
      <c r="K260" s="22">
        <v>121537</v>
      </c>
      <c r="L260" s="21" t="s">
        <v>65</v>
      </c>
      <c r="M260" s="4">
        <v>0.19880365649966678</v>
      </c>
      <c r="N260" s="5">
        <f>_xlfn.XLOOKUP(L260,'Campaign Metadata'!$A$2:$A$6,'Campaign Metadata'!$B$2:$B$6)</f>
        <v>45566</v>
      </c>
      <c r="O260" s="5">
        <f>_xlfn.XLOOKUP(L260,'Campaign Metadata'!$A$2:$A$6,'Campaign Metadata'!$C$2:$C$6)</f>
        <v>45596</v>
      </c>
      <c r="P260" t="str">
        <f t="shared" si="4"/>
        <v>After</v>
      </c>
    </row>
    <row r="261" spans="1:16" x14ac:dyDescent="0.3">
      <c r="A261" t="s">
        <v>69</v>
      </c>
      <c r="B261" s="21" t="s">
        <v>31</v>
      </c>
      <c r="C261" s="5">
        <v>45637</v>
      </c>
      <c r="D261" s="21" t="s">
        <v>25</v>
      </c>
      <c r="E261" s="21" t="s">
        <v>14</v>
      </c>
      <c r="F261" s="22">
        <v>22645</v>
      </c>
      <c r="G261" s="22">
        <v>545</v>
      </c>
      <c r="H261" s="22">
        <v>972</v>
      </c>
      <c r="I261" s="22">
        <v>321</v>
      </c>
      <c r="J261" s="22">
        <v>8396</v>
      </c>
      <c r="K261" s="22">
        <v>121537</v>
      </c>
      <c r="L261" s="21" t="s">
        <v>65</v>
      </c>
      <c r="M261" s="4">
        <v>0.19880365649966678</v>
      </c>
      <c r="N261" s="5">
        <f>_xlfn.XLOOKUP(L261,'Campaign Metadata'!$A$2:$A$6,'Campaign Metadata'!$B$2:$B$6)</f>
        <v>45566</v>
      </c>
      <c r="O261" s="5">
        <f>_xlfn.XLOOKUP(L261,'Campaign Metadata'!$A$2:$A$6,'Campaign Metadata'!$C$2:$C$6)</f>
        <v>45596</v>
      </c>
      <c r="P261" t="str">
        <f t="shared" si="4"/>
        <v>After</v>
      </c>
    </row>
    <row r="262" spans="1:16" x14ac:dyDescent="0.3">
      <c r="A262" t="s">
        <v>130</v>
      </c>
      <c r="B262" s="21" t="s">
        <v>29</v>
      </c>
      <c r="C262" s="5">
        <v>45642</v>
      </c>
      <c r="D262" s="21" t="s">
        <v>26</v>
      </c>
      <c r="E262" s="21" t="s">
        <v>3</v>
      </c>
      <c r="F262" s="22">
        <v>2384</v>
      </c>
      <c r="G262" s="22">
        <v>1246</v>
      </c>
      <c r="H262" s="22">
        <v>160</v>
      </c>
      <c r="I262" s="22">
        <v>2004</v>
      </c>
      <c r="J262" s="22">
        <v>2701</v>
      </c>
      <c r="K262" s="22">
        <v>73142</v>
      </c>
      <c r="L262" s="21" t="s">
        <v>59</v>
      </c>
      <c r="M262" s="4">
        <v>5.1817013480626728E-2</v>
      </c>
      <c r="N262" s="5">
        <f>_xlfn.XLOOKUP(L262,'Campaign Metadata'!$A$2:$A$6,'Campaign Metadata'!$B$2:$B$6)</f>
        <v>45651</v>
      </c>
      <c r="O262" s="5">
        <f>_xlfn.XLOOKUP(L262,'Campaign Metadata'!$A$2:$A$6,'Campaign Metadata'!$C$2:$C$6)</f>
        <v>45667</v>
      </c>
      <c r="P262" t="str">
        <f t="shared" si="4"/>
        <v>Before</v>
      </c>
    </row>
    <row r="263" spans="1:16" x14ac:dyDescent="0.3">
      <c r="A263" t="s">
        <v>130</v>
      </c>
      <c r="B263" s="21" t="s">
        <v>29</v>
      </c>
      <c r="C263" s="5">
        <v>45642</v>
      </c>
      <c r="D263" s="21" t="s">
        <v>26</v>
      </c>
      <c r="E263" s="21" t="s">
        <v>12</v>
      </c>
      <c r="F263" s="22">
        <v>2384</v>
      </c>
      <c r="G263" s="22">
        <v>1246</v>
      </c>
      <c r="H263" s="22">
        <v>160</v>
      </c>
      <c r="I263" s="22">
        <v>2004</v>
      </c>
      <c r="J263" s="22">
        <v>2701</v>
      </c>
      <c r="K263" s="22">
        <v>73142</v>
      </c>
      <c r="L263" s="21" t="s">
        <v>59</v>
      </c>
      <c r="M263" s="4">
        <v>5.1817013480626728E-2</v>
      </c>
      <c r="N263" s="5">
        <f>_xlfn.XLOOKUP(L263,'Campaign Metadata'!$A$2:$A$6,'Campaign Metadata'!$B$2:$B$6)</f>
        <v>45651</v>
      </c>
      <c r="O263" s="5">
        <f>_xlfn.XLOOKUP(L263,'Campaign Metadata'!$A$2:$A$6,'Campaign Metadata'!$C$2:$C$6)</f>
        <v>45667</v>
      </c>
      <c r="P263" t="str">
        <f t="shared" si="4"/>
        <v>Before</v>
      </c>
    </row>
    <row r="264" spans="1:16" x14ac:dyDescent="0.3">
      <c r="A264" t="s">
        <v>185</v>
      </c>
      <c r="B264" s="21" t="s">
        <v>31</v>
      </c>
      <c r="C264" s="5">
        <v>45643</v>
      </c>
      <c r="D264" s="21" t="s">
        <v>26</v>
      </c>
      <c r="E264" s="21" t="s">
        <v>7</v>
      </c>
      <c r="F264" s="22">
        <v>20030</v>
      </c>
      <c r="G264" s="22">
        <v>485</v>
      </c>
      <c r="H264" s="22">
        <v>888</v>
      </c>
      <c r="I264" s="22">
        <v>1643</v>
      </c>
      <c r="J264" s="22">
        <v>4322</v>
      </c>
      <c r="K264" s="22">
        <v>196995</v>
      </c>
      <c r="L264" s="21" t="s">
        <v>60</v>
      </c>
      <c r="M264" s="4">
        <v>0.10864742759968526</v>
      </c>
      <c r="N264" s="5">
        <f>_xlfn.XLOOKUP(L264,'Campaign Metadata'!$A$2:$A$6,'Campaign Metadata'!$B$2:$B$6)</f>
        <v>45717</v>
      </c>
      <c r="O264" s="5">
        <f>_xlfn.XLOOKUP(L264,'Campaign Metadata'!$A$2:$A$6,'Campaign Metadata'!$C$2:$C$6)</f>
        <v>45747</v>
      </c>
      <c r="P264" t="str">
        <f t="shared" si="4"/>
        <v>Before</v>
      </c>
    </row>
    <row r="265" spans="1:16" x14ac:dyDescent="0.3">
      <c r="A265" t="s">
        <v>185</v>
      </c>
      <c r="B265" s="21" t="s">
        <v>31</v>
      </c>
      <c r="C265" s="5">
        <v>45643</v>
      </c>
      <c r="D265" s="21" t="s">
        <v>26</v>
      </c>
      <c r="E265" s="21" t="s">
        <v>9</v>
      </c>
      <c r="F265" s="22">
        <v>20030</v>
      </c>
      <c r="G265" s="22">
        <v>485</v>
      </c>
      <c r="H265" s="22">
        <v>888</v>
      </c>
      <c r="I265" s="22">
        <v>1643</v>
      </c>
      <c r="J265" s="22">
        <v>4322</v>
      </c>
      <c r="K265" s="22">
        <v>196995</v>
      </c>
      <c r="L265" s="21" t="s">
        <v>60</v>
      </c>
      <c r="M265" s="4">
        <v>0.10864742759968526</v>
      </c>
      <c r="N265" s="5">
        <f>_xlfn.XLOOKUP(L265,'Campaign Metadata'!$A$2:$A$6,'Campaign Metadata'!$B$2:$B$6)</f>
        <v>45717</v>
      </c>
      <c r="O265" s="5">
        <f>_xlfn.XLOOKUP(L265,'Campaign Metadata'!$A$2:$A$6,'Campaign Metadata'!$C$2:$C$6)</f>
        <v>45747</v>
      </c>
      <c r="P265" t="str">
        <f t="shared" si="4"/>
        <v>Before</v>
      </c>
    </row>
    <row r="266" spans="1:16" x14ac:dyDescent="0.3">
      <c r="A266" t="s">
        <v>105</v>
      </c>
      <c r="B266" s="21" t="s">
        <v>30</v>
      </c>
      <c r="C266" s="5">
        <v>45644</v>
      </c>
      <c r="D266" s="21" t="s">
        <v>27</v>
      </c>
      <c r="E266" s="21" t="s">
        <v>3</v>
      </c>
      <c r="F266" s="22">
        <v>14775</v>
      </c>
      <c r="G266" s="22">
        <v>1220</v>
      </c>
      <c r="H266" s="22">
        <v>640</v>
      </c>
      <c r="I266" s="22">
        <v>1547</v>
      </c>
      <c r="J266" s="22">
        <v>28527</v>
      </c>
      <c r="K266" s="22">
        <v>183660</v>
      </c>
      <c r="L266" s="21" t="s">
        <v>65</v>
      </c>
      <c r="M266" s="4">
        <v>9.0574975498203203E-2</v>
      </c>
      <c r="N266" s="5">
        <f>_xlfn.XLOOKUP(L266,'Campaign Metadata'!$A$2:$A$6,'Campaign Metadata'!$B$2:$B$6)</f>
        <v>45566</v>
      </c>
      <c r="O266" s="5">
        <f>_xlfn.XLOOKUP(L266,'Campaign Metadata'!$A$2:$A$6,'Campaign Metadata'!$C$2:$C$6)</f>
        <v>45596</v>
      </c>
      <c r="P266" t="str">
        <f t="shared" si="4"/>
        <v>After</v>
      </c>
    </row>
    <row r="267" spans="1:16" x14ac:dyDescent="0.3">
      <c r="A267" t="s">
        <v>105</v>
      </c>
      <c r="B267" s="21" t="s">
        <v>30</v>
      </c>
      <c r="C267" s="5">
        <v>45644</v>
      </c>
      <c r="D267" s="21" t="s">
        <v>27</v>
      </c>
      <c r="E267" s="21" t="s">
        <v>14</v>
      </c>
      <c r="F267" s="22">
        <v>14775</v>
      </c>
      <c r="G267" s="22">
        <v>1220</v>
      </c>
      <c r="H267" s="22">
        <v>640</v>
      </c>
      <c r="I267" s="22">
        <v>1547</v>
      </c>
      <c r="J267" s="22">
        <v>28527</v>
      </c>
      <c r="K267" s="22">
        <v>183660</v>
      </c>
      <c r="L267" s="21" t="s">
        <v>65</v>
      </c>
      <c r="M267" s="4">
        <v>9.0574975498203203E-2</v>
      </c>
      <c r="N267" s="5">
        <f>_xlfn.XLOOKUP(L267,'Campaign Metadata'!$A$2:$A$6,'Campaign Metadata'!$B$2:$B$6)</f>
        <v>45566</v>
      </c>
      <c r="O267" s="5">
        <f>_xlfn.XLOOKUP(L267,'Campaign Metadata'!$A$2:$A$6,'Campaign Metadata'!$C$2:$C$6)</f>
        <v>45596</v>
      </c>
      <c r="P267" t="str">
        <f t="shared" si="4"/>
        <v>After</v>
      </c>
    </row>
    <row r="268" spans="1:16" x14ac:dyDescent="0.3">
      <c r="A268" t="s">
        <v>176</v>
      </c>
      <c r="B268" s="21" t="s">
        <v>29</v>
      </c>
      <c r="C268" s="5">
        <v>45647</v>
      </c>
      <c r="D268" s="21" t="s">
        <v>26</v>
      </c>
      <c r="E268" s="21" t="s">
        <v>10</v>
      </c>
      <c r="F268" s="22">
        <v>12453</v>
      </c>
      <c r="G268" s="22">
        <v>376</v>
      </c>
      <c r="H268" s="22">
        <v>320</v>
      </c>
      <c r="I268" s="22">
        <v>2546</v>
      </c>
      <c r="J268" s="22">
        <v>22617</v>
      </c>
      <c r="K268" s="22">
        <v>90138</v>
      </c>
      <c r="L268" s="21" t="s">
        <v>60</v>
      </c>
      <c r="M268" s="4">
        <v>0.14587632297144379</v>
      </c>
      <c r="N268" s="5">
        <f>_xlfn.XLOOKUP(L268,'Campaign Metadata'!$A$2:$A$6,'Campaign Metadata'!$B$2:$B$6)</f>
        <v>45717</v>
      </c>
      <c r="O268" s="5">
        <f>_xlfn.XLOOKUP(L268,'Campaign Metadata'!$A$2:$A$6,'Campaign Metadata'!$C$2:$C$6)</f>
        <v>45747</v>
      </c>
      <c r="P268" t="str">
        <f t="shared" si="4"/>
        <v>Before</v>
      </c>
    </row>
    <row r="269" spans="1:16" x14ac:dyDescent="0.3">
      <c r="A269" t="s">
        <v>176</v>
      </c>
      <c r="B269" s="21" t="s">
        <v>29</v>
      </c>
      <c r="C269" s="5">
        <v>45647</v>
      </c>
      <c r="D269" s="21" t="s">
        <v>26</v>
      </c>
      <c r="E269" s="21" t="s">
        <v>8</v>
      </c>
      <c r="F269" s="22">
        <v>12453</v>
      </c>
      <c r="G269" s="22">
        <v>376</v>
      </c>
      <c r="H269" s="22">
        <v>320</v>
      </c>
      <c r="I269" s="22">
        <v>2546</v>
      </c>
      <c r="J269" s="22">
        <v>22617</v>
      </c>
      <c r="K269" s="22">
        <v>90138</v>
      </c>
      <c r="L269" s="21" t="s">
        <v>60</v>
      </c>
      <c r="M269" s="4">
        <v>0.14587632297144379</v>
      </c>
      <c r="N269" s="5">
        <f>_xlfn.XLOOKUP(L269,'Campaign Metadata'!$A$2:$A$6,'Campaign Metadata'!$B$2:$B$6)</f>
        <v>45717</v>
      </c>
      <c r="O269" s="5">
        <f>_xlfn.XLOOKUP(L269,'Campaign Metadata'!$A$2:$A$6,'Campaign Metadata'!$C$2:$C$6)</f>
        <v>45747</v>
      </c>
      <c r="P269" t="str">
        <f t="shared" si="4"/>
        <v>Before</v>
      </c>
    </row>
    <row r="270" spans="1:16" x14ac:dyDescent="0.3">
      <c r="A270" t="s">
        <v>145</v>
      </c>
      <c r="B270" s="21" t="s">
        <v>31</v>
      </c>
      <c r="C270" s="5">
        <v>45648</v>
      </c>
      <c r="D270" s="21" t="s">
        <v>27</v>
      </c>
      <c r="E270" s="21" t="s">
        <v>2</v>
      </c>
      <c r="F270" s="22">
        <v>7870</v>
      </c>
      <c r="G270" s="22">
        <v>968</v>
      </c>
      <c r="H270" s="22">
        <v>626</v>
      </c>
      <c r="I270" s="22">
        <v>465</v>
      </c>
      <c r="J270" s="22">
        <v>27184</v>
      </c>
      <c r="K270" s="22">
        <v>44114</v>
      </c>
      <c r="L270" s="21" t="s">
        <v>65</v>
      </c>
      <c r="M270" s="4">
        <v>0.2145350682323072</v>
      </c>
      <c r="N270" s="5">
        <f>_xlfn.XLOOKUP(L270,'Campaign Metadata'!$A$2:$A$6,'Campaign Metadata'!$B$2:$B$6)</f>
        <v>45566</v>
      </c>
      <c r="O270" s="5">
        <f>_xlfn.XLOOKUP(L270,'Campaign Metadata'!$A$2:$A$6,'Campaign Metadata'!$C$2:$C$6)</f>
        <v>45596</v>
      </c>
      <c r="P270" t="str">
        <f t="shared" si="4"/>
        <v>After</v>
      </c>
    </row>
    <row r="271" spans="1:16" x14ac:dyDescent="0.3">
      <c r="A271" t="s">
        <v>145</v>
      </c>
      <c r="B271" s="21" t="s">
        <v>31</v>
      </c>
      <c r="C271" s="5">
        <v>45648</v>
      </c>
      <c r="D271" s="21" t="s">
        <v>27</v>
      </c>
      <c r="E271" s="21" t="s">
        <v>19</v>
      </c>
      <c r="F271" s="22">
        <v>7870</v>
      </c>
      <c r="G271" s="22">
        <v>968</v>
      </c>
      <c r="H271" s="22">
        <v>626</v>
      </c>
      <c r="I271" s="22">
        <v>465</v>
      </c>
      <c r="J271" s="22">
        <v>27184</v>
      </c>
      <c r="K271" s="22">
        <v>44114</v>
      </c>
      <c r="L271" s="21" t="s">
        <v>65</v>
      </c>
      <c r="M271" s="4">
        <v>0.2145350682323072</v>
      </c>
      <c r="N271" s="5">
        <f>_xlfn.XLOOKUP(L271,'Campaign Metadata'!$A$2:$A$6,'Campaign Metadata'!$B$2:$B$6)</f>
        <v>45566</v>
      </c>
      <c r="O271" s="5">
        <f>_xlfn.XLOOKUP(L271,'Campaign Metadata'!$A$2:$A$6,'Campaign Metadata'!$C$2:$C$6)</f>
        <v>45596</v>
      </c>
      <c r="P271" t="str">
        <f t="shared" si="4"/>
        <v>After</v>
      </c>
    </row>
    <row r="272" spans="1:16" x14ac:dyDescent="0.3">
      <c r="A272" t="s">
        <v>96</v>
      </c>
      <c r="B272" s="21" t="s">
        <v>30</v>
      </c>
      <c r="C272" s="5">
        <v>45648</v>
      </c>
      <c r="D272" s="21" t="s">
        <v>27</v>
      </c>
      <c r="E272" s="21" t="s">
        <v>3</v>
      </c>
      <c r="F272" s="22">
        <v>20117</v>
      </c>
      <c r="G272" s="22">
        <v>1143</v>
      </c>
      <c r="H272" s="22">
        <v>713</v>
      </c>
      <c r="I272" s="22">
        <v>1739</v>
      </c>
      <c r="J272" s="22">
        <v>34444</v>
      </c>
      <c r="K272" s="22">
        <v>198670</v>
      </c>
      <c r="L272" s="21" t="s">
        <v>65</v>
      </c>
      <c r="M272" s="4">
        <v>0.11060049328031409</v>
      </c>
      <c r="N272" s="5">
        <f>_xlfn.XLOOKUP(L272,'Campaign Metadata'!$A$2:$A$6,'Campaign Metadata'!$B$2:$B$6)</f>
        <v>45566</v>
      </c>
      <c r="O272" s="5">
        <f>_xlfn.XLOOKUP(L272,'Campaign Metadata'!$A$2:$A$6,'Campaign Metadata'!$C$2:$C$6)</f>
        <v>45596</v>
      </c>
      <c r="P272" t="str">
        <f t="shared" si="4"/>
        <v>After</v>
      </c>
    </row>
    <row r="273" spans="1:16" x14ac:dyDescent="0.3">
      <c r="A273" t="s">
        <v>96</v>
      </c>
      <c r="B273" s="21" t="s">
        <v>30</v>
      </c>
      <c r="C273" s="5">
        <v>45648</v>
      </c>
      <c r="D273" s="21" t="s">
        <v>27</v>
      </c>
      <c r="E273" s="21" t="s">
        <v>12</v>
      </c>
      <c r="F273" s="22">
        <v>20117</v>
      </c>
      <c r="G273" s="22">
        <v>1143</v>
      </c>
      <c r="H273" s="22">
        <v>713</v>
      </c>
      <c r="I273" s="22">
        <v>1739</v>
      </c>
      <c r="J273" s="22">
        <v>34444</v>
      </c>
      <c r="K273" s="22">
        <v>198670</v>
      </c>
      <c r="L273" s="21" t="s">
        <v>65</v>
      </c>
      <c r="M273" s="4">
        <v>0.11060049328031409</v>
      </c>
      <c r="N273" s="5">
        <f>_xlfn.XLOOKUP(L273,'Campaign Metadata'!$A$2:$A$6,'Campaign Metadata'!$B$2:$B$6)</f>
        <v>45566</v>
      </c>
      <c r="O273" s="5">
        <f>_xlfn.XLOOKUP(L273,'Campaign Metadata'!$A$2:$A$6,'Campaign Metadata'!$C$2:$C$6)</f>
        <v>45596</v>
      </c>
      <c r="P273" t="str">
        <f t="shared" si="4"/>
        <v>After</v>
      </c>
    </row>
    <row r="274" spans="1:16" x14ac:dyDescent="0.3">
      <c r="A274" t="s">
        <v>263</v>
      </c>
      <c r="B274" s="21" t="s">
        <v>32</v>
      </c>
      <c r="C274" s="5">
        <v>45649</v>
      </c>
      <c r="D274" s="21" t="s">
        <v>26</v>
      </c>
      <c r="E274" s="21" t="s">
        <v>8</v>
      </c>
      <c r="F274" s="22">
        <v>24516</v>
      </c>
      <c r="G274" s="22">
        <v>976</v>
      </c>
      <c r="H274" s="22">
        <v>974</v>
      </c>
      <c r="I274" s="22">
        <v>2675</v>
      </c>
      <c r="J274" s="22">
        <v>23275</v>
      </c>
      <c r="K274" s="22">
        <v>202932</v>
      </c>
      <c r="L274" s="21" t="s">
        <v>59</v>
      </c>
      <c r="M274" s="4">
        <v>0.13041807107799658</v>
      </c>
      <c r="N274" s="5">
        <f>_xlfn.XLOOKUP(L274,'Campaign Metadata'!$A$2:$A$6,'Campaign Metadata'!$B$2:$B$6)</f>
        <v>45651</v>
      </c>
      <c r="O274" s="5">
        <f>_xlfn.XLOOKUP(L274,'Campaign Metadata'!$A$2:$A$6,'Campaign Metadata'!$C$2:$C$6)</f>
        <v>45667</v>
      </c>
      <c r="P274" t="str">
        <f t="shared" si="4"/>
        <v>Before</v>
      </c>
    </row>
    <row r="275" spans="1:16" x14ac:dyDescent="0.3">
      <c r="A275" t="s">
        <v>263</v>
      </c>
      <c r="B275" s="21" t="s">
        <v>32</v>
      </c>
      <c r="C275" s="5">
        <v>45649</v>
      </c>
      <c r="D275" s="21" t="s">
        <v>26</v>
      </c>
      <c r="E275" s="21" t="s">
        <v>10</v>
      </c>
      <c r="F275" s="22">
        <v>24516</v>
      </c>
      <c r="G275" s="22">
        <v>976</v>
      </c>
      <c r="H275" s="22">
        <v>974</v>
      </c>
      <c r="I275" s="22">
        <v>2675</v>
      </c>
      <c r="J275" s="22">
        <v>23275</v>
      </c>
      <c r="K275" s="22">
        <v>202932</v>
      </c>
      <c r="L275" s="21" t="s">
        <v>59</v>
      </c>
      <c r="M275" s="4">
        <v>0.13041807107799658</v>
      </c>
      <c r="N275" s="5">
        <f>_xlfn.XLOOKUP(L275,'Campaign Metadata'!$A$2:$A$6,'Campaign Metadata'!$B$2:$B$6)</f>
        <v>45651</v>
      </c>
      <c r="O275" s="5">
        <f>_xlfn.XLOOKUP(L275,'Campaign Metadata'!$A$2:$A$6,'Campaign Metadata'!$C$2:$C$6)</f>
        <v>45667</v>
      </c>
      <c r="P275" t="str">
        <f t="shared" si="4"/>
        <v>Before</v>
      </c>
    </row>
    <row r="276" spans="1:16" x14ac:dyDescent="0.3">
      <c r="A276" t="s">
        <v>228</v>
      </c>
      <c r="B276" s="21" t="s">
        <v>32</v>
      </c>
      <c r="C276" s="5">
        <v>45649</v>
      </c>
      <c r="D276" s="21" t="s">
        <v>28</v>
      </c>
      <c r="E276" s="21" t="s">
        <v>11</v>
      </c>
      <c r="F276" s="22">
        <v>18616</v>
      </c>
      <c r="G276" s="22">
        <v>1277</v>
      </c>
      <c r="H276" s="22">
        <v>734</v>
      </c>
      <c r="I276" s="22">
        <v>2249</v>
      </c>
      <c r="J276" s="22">
        <v>3399</v>
      </c>
      <c r="K276" s="22">
        <v>193515</v>
      </c>
      <c r="L276" s="21" t="s">
        <v>63</v>
      </c>
      <c r="M276" s="4">
        <v>0.10659122031883833</v>
      </c>
      <c r="N276" s="5">
        <f>_xlfn.XLOOKUP(L276,'Campaign Metadata'!$A$2:$A$6,'Campaign Metadata'!$B$2:$B$6)</f>
        <v>45458</v>
      </c>
      <c r="O276" s="5">
        <f>_xlfn.XLOOKUP(L276,'Campaign Metadata'!$A$2:$A$6,'Campaign Metadata'!$C$2:$C$6)</f>
        <v>45488</v>
      </c>
      <c r="P276" t="str">
        <f t="shared" si="4"/>
        <v>After</v>
      </c>
    </row>
    <row r="277" spans="1:16" x14ac:dyDescent="0.3">
      <c r="A277" t="s">
        <v>228</v>
      </c>
      <c r="B277" s="21" t="s">
        <v>32</v>
      </c>
      <c r="C277" s="5">
        <v>45649</v>
      </c>
      <c r="D277" s="21" t="s">
        <v>28</v>
      </c>
      <c r="E277" s="21" t="s">
        <v>1</v>
      </c>
      <c r="F277" s="22">
        <v>18616</v>
      </c>
      <c r="G277" s="22">
        <v>1277</v>
      </c>
      <c r="H277" s="22">
        <v>734</v>
      </c>
      <c r="I277" s="22">
        <v>2249</v>
      </c>
      <c r="J277" s="22">
        <v>3399</v>
      </c>
      <c r="K277" s="22">
        <v>193515</v>
      </c>
      <c r="L277" s="21" t="s">
        <v>63</v>
      </c>
      <c r="M277" s="4">
        <v>0.10659122031883833</v>
      </c>
      <c r="N277" s="5">
        <f>_xlfn.XLOOKUP(L277,'Campaign Metadata'!$A$2:$A$6,'Campaign Metadata'!$B$2:$B$6)</f>
        <v>45458</v>
      </c>
      <c r="O277" s="5">
        <f>_xlfn.XLOOKUP(L277,'Campaign Metadata'!$A$2:$A$6,'Campaign Metadata'!$C$2:$C$6)</f>
        <v>45488</v>
      </c>
      <c r="P277" t="str">
        <f t="shared" si="4"/>
        <v>After</v>
      </c>
    </row>
    <row r="278" spans="1:16" x14ac:dyDescent="0.3">
      <c r="A278" t="s">
        <v>278</v>
      </c>
      <c r="B278" s="21" t="s">
        <v>31</v>
      </c>
      <c r="C278" s="5">
        <v>45650</v>
      </c>
      <c r="D278" s="21" t="s">
        <v>26</v>
      </c>
      <c r="E278" s="21" t="s">
        <v>17</v>
      </c>
      <c r="F278" s="22">
        <v>10512</v>
      </c>
      <c r="G278" s="22">
        <v>1197</v>
      </c>
      <c r="H278" s="22">
        <v>544</v>
      </c>
      <c r="I278" s="22">
        <v>2012</v>
      </c>
      <c r="J278" s="22">
        <v>10245</v>
      </c>
      <c r="K278" s="22">
        <v>140102</v>
      </c>
      <c r="L278" s="21" t="s">
        <v>59</v>
      </c>
      <c r="M278" s="4">
        <v>8.745770938316369E-2</v>
      </c>
      <c r="N278" s="5">
        <f>_xlfn.XLOOKUP(L278,'Campaign Metadata'!$A$2:$A$6,'Campaign Metadata'!$B$2:$B$6)</f>
        <v>45651</v>
      </c>
      <c r="O278" s="5">
        <f>_xlfn.XLOOKUP(L278,'Campaign Metadata'!$A$2:$A$6,'Campaign Metadata'!$C$2:$C$6)</f>
        <v>45667</v>
      </c>
      <c r="P278" t="str">
        <f t="shared" si="4"/>
        <v>Before</v>
      </c>
    </row>
    <row r="279" spans="1:16" x14ac:dyDescent="0.3">
      <c r="A279" t="s">
        <v>292</v>
      </c>
      <c r="B279" s="21" t="s">
        <v>30</v>
      </c>
      <c r="C279" s="5">
        <v>45655</v>
      </c>
      <c r="D279" s="21" t="s">
        <v>25</v>
      </c>
      <c r="E279" s="21" t="s">
        <v>17</v>
      </c>
      <c r="F279" s="22">
        <v>8288</v>
      </c>
      <c r="G279" s="22">
        <v>1401</v>
      </c>
      <c r="H279" s="22">
        <v>819</v>
      </c>
      <c r="I279" s="22">
        <v>1235</v>
      </c>
      <c r="J279" s="22">
        <v>33446</v>
      </c>
      <c r="K279" s="22">
        <v>248786</v>
      </c>
      <c r="L279" s="21" t="s">
        <v>59</v>
      </c>
      <c r="M279" s="4">
        <v>4.2237103373984064E-2</v>
      </c>
      <c r="N279" s="5">
        <f>_xlfn.XLOOKUP(L279,'Campaign Metadata'!$A$2:$A$6,'Campaign Metadata'!$B$2:$B$6)</f>
        <v>45651</v>
      </c>
      <c r="O279" s="5">
        <f>_xlfn.XLOOKUP(L279,'Campaign Metadata'!$A$2:$A$6,'Campaign Metadata'!$C$2:$C$6)</f>
        <v>45667</v>
      </c>
      <c r="P279" t="str">
        <f t="shared" si="4"/>
        <v>During</v>
      </c>
    </row>
    <row r="280" spans="1:16" x14ac:dyDescent="0.3">
      <c r="A280" t="s">
        <v>165</v>
      </c>
      <c r="B280" s="21" t="s">
        <v>30</v>
      </c>
      <c r="C280" s="5">
        <v>45657</v>
      </c>
      <c r="D280" s="21" t="s">
        <v>26</v>
      </c>
      <c r="E280" s="21" t="s">
        <v>8</v>
      </c>
      <c r="F280" s="22">
        <v>10717</v>
      </c>
      <c r="G280" s="22">
        <v>760</v>
      </c>
      <c r="H280" s="22">
        <v>460</v>
      </c>
      <c r="I280" s="22">
        <v>1316</v>
      </c>
      <c r="J280" s="22">
        <v>18164</v>
      </c>
      <c r="K280" s="22">
        <v>240641</v>
      </c>
      <c r="L280" s="21" t="s">
        <v>65</v>
      </c>
      <c r="M280" s="4">
        <v>4.9605013277039242E-2</v>
      </c>
      <c r="N280" s="5">
        <f>_xlfn.XLOOKUP(L280,'Campaign Metadata'!$A$2:$A$6,'Campaign Metadata'!$B$2:$B$6)</f>
        <v>45566</v>
      </c>
      <c r="O280" s="5">
        <f>_xlfn.XLOOKUP(L280,'Campaign Metadata'!$A$2:$A$6,'Campaign Metadata'!$C$2:$C$6)</f>
        <v>45596</v>
      </c>
      <c r="P280" t="str">
        <f t="shared" si="4"/>
        <v>After</v>
      </c>
    </row>
    <row r="281" spans="1:16" x14ac:dyDescent="0.3">
      <c r="A281" t="s">
        <v>165</v>
      </c>
      <c r="B281" s="21" t="s">
        <v>30</v>
      </c>
      <c r="C281" s="5">
        <v>45657</v>
      </c>
      <c r="D281" s="21" t="s">
        <v>26</v>
      </c>
      <c r="E281" s="21" t="s">
        <v>10</v>
      </c>
      <c r="F281" s="22">
        <v>10717</v>
      </c>
      <c r="G281" s="22">
        <v>760</v>
      </c>
      <c r="H281" s="22">
        <v>460</v>
      </c>
      <c r="I281" s="22">
        <v>1316</v>
      </c>
      <c r="J281" s="22">
        <v>18164</v>
      </c>
      <c r="K281" s="22">
        <v>240641</v>
      </c>
      <c r="L281" s="21" t="s">
        <v>65</v>
      </c>
      <c r="M281" s="4">
        <v>4.9605013277039242E-2</v>
      </c>
      <c r="N281" s="5">
        <f>_xlfn.XLOOKUP(L281,'Campaign Metadata'!$A$2:$A$6,'Campaign Metadata'!$B$2:$B$6)</f>
        <v>45566</v>
      </c>
      <c r="O281" s="5">
        <f>_xlfn.XLOOKUP(L281,'Campaign Metadata'!$A$2:$A$6,'Campaign Metadata'!$C$2:$C$6)</f>
        <v>45596</v>
      </c>
      <c r="P281" t="str">
        <f t="shared" si="4"/>
        <v>After</v>
      </c>
    </row>
    <row r="282" spans="1:16" x14ac:dyDescent="0.3">
      <c r="A282" t="s">
        <v>153</v>
      </c>
      <c r="B282" s="21" t="s">
        <v>29</v>
      </c>
      <c r="C282" s="5">
        <v>45658</v>
      </c>
      <c r="D282" s="21" t="s">
        <v>28</v>
      </c>
      <c r="E282" s="21" t="s">
        <v>4</v>
      </c>
      <c r="F282" s="22">
        <v>24574</v>
      </c>
      <c r="G282" s="22">
        <v>909</v>
      </c>
      <c r="H282" s="22">
        <v>280</v>
      </c>
      <c r="I282" s="22">
        <v>2009</v>
      </c>
      <c r="J282" s="22">
        <v>6221</v>
      </c>
      <c r="K282" s="22">
        <v>236910</v>
      </c>
      <c r="L282" s="21" t="s">
        <v>65</v>
      </c>
      <c r="M282" s="4">
        <v>0.10874593727575872</v>
      </c>
      <c r="N282" s="5">
        <f>_xlfn.XLOOKUP(L282,'Campaign Metadata'!$A$2:$A$6,'Campaign Metadata'!$B$2:$B$6)</f>
        <v>45566</v>
      </c>
      <c r="O282" s="5">
        <f>_xlfn.XLOOKUP(L282,'Campaign Metadata'!$A$2:$A$6,'Campaign Metadata'!$C$2:$C$6)</f>
        <v>45596</v>
      </c>
      <c r="P282" t="str">
        <f t="shared" si="4"/>
        <v>After</v>
      </c>
    </row>
    <row r="283" spans="1:16" x14ac:dyDescent="0.3">
      <c r="A283" t="s">
        <v>153</v>
      </c>
      <c r="B283" s="21" t="s">
        <v>29</v>
      </c>
      <c r="C283" s="5">
        <v>45658</v>
      </c>
      <c r="D283" s="21" t="s">
        <v>28</v>
      </c>
      <c r="E283" s="21" t="s">
        <v>16</v>
      </c>
      <c r="F283" s="22">
        <v>24574</v>
      </c>
      <c r="G283" s="22">
        <v>909</v>
      </c>
      <c r="H283" s="22">
        <v>280</v>
      </c>
      <c r="I283" s="22">
        <v>2009</v>
      </c>
      <c r="J283" s="22">
        <v>6221</v>
      </c>
      <c r="K283" s="22">
        <v>236910</v>
      </c>
      <c r="L283" s="21" t="s">
        <v>65</v>
      </c>
      <c r="M283" s="4">
        <v>0.10874593727575872</v>
      </c>
      <c r="N283" s="5">
        <f>_xlfn.XLOOKUP(L283,'Campaign Metadata'!$A$2:$A$6,'Campaign Metadata'!$B$2:$B$6)</f>
        <v>45566</v>
      </c>
      <c r="O283" s="5">
        <f>_xlfn.XLOOKUP(L283,'Campaign Metadata'!$A$2:$A$6,'Campaign Metadata'!$C$2:$C$6)</f>
        <v>45596</v>
      </c>
      <c r="P283" t="str">
        <f t="shared" si="4"/>
        <v>After</v>
      </c>
    </row>
    <row r="284" spans="1:16" x14ac:dyDescent="0.3">
      <c r="A284" t="s">
        <v>293</v>
      </c>
      <c r="B284" s="21" t="s">
        <v>30</v>
      </c>
      <c r="C284" s="5">
        <v>45658</v>
      </c>
      <c r="D284" s="21" t="s">
        <v>28</v>
      </c>
      <c r="E284" s="21" t="s">
        <v>6</v>
      </c>
      <c r="F284" s="22">
        <v>8283</v>
      </c>
      <c r="G284" s="22">
        <v>720</v>
      </c>
      <c r="H284" s="22">
        <v>888</v>
      </c>
      <c r="I284" s="22">
        <v>611</v>
      </c>
      <c r="J284" s="22">
        <v>52791</v>
      </c>
      <c r="K284" s="22">
        <v>235229</v>
      </c>
      <c r="L284" s="21" t="s">
        <v>59</v>
      </c>
      <c r="M284" s="4">
        <v>4.2048386891072105E-2</v>
      </c>
      <c r="N284" s="5">
        <f>_xlfn.XLOOKUP(L284,'Campaign Metadata'!$A$2:$A$6,'Campaign Metadata'!$B$2:$B$6)</f>
        <v>45651</v>
      </c>
      <c r="O284" s="5">
        <f>_xlfn.XLOOKUP(L284,'Campaign Metadata'!$A$2:$A$6,'Campaign Metadata'!$C$2:$C$6)</f>
        <v>45667</v>
      </c>
      <c r="P284" t="str">
        <f t="shared" si="4"/>
        <v>During</v>
      </c>
    </row>
    <row r="285" spans="1:16" x14ac:dyDescent="0.3">
      <c r="A285" t="s">
        <v>293</v>
      </c>
      <c r="B285" s="21" t="s">
        <v>30</v>
      </c>
      <c r="C285" s="5">
        <v>45658</v>
      </c>
      <c r="D285" s="21" t="s">
        <v>28</v>
      </c>
      <c r="E285" s="21" t="s">
        <v>5</v>
      </c>
      <c r="F285" s="22">
        <v>8283</v>
      </c>
      <c r="G285" s="22">
        <v>720</v>
      </c>
      <c r="H285" s="22">
        <v>888</v>
      </c>
      <c r="I285" s="22">
        <v>611</v>
      </c>
      <c r="J285" s="22">
        <v>52791</v>
      </c>
      <c r="K285" s="22">
        <v>235229</v>
      </c>
      <c r="L285" s="21" t="s">
        <v>59</v>
      </c>
      <c r="M285" s="4">
        <v>4.2048386891072105E-2</v>
      </c>
      <c r="N285" s="5">
        <f>_xlfn.XLOOKUP(L285,'Campaign Metadata'!$A$2:$A$6,'Campaign Metadata'!$B$2:$B$6)</f>
        <v>45651</v>
      </c>
      <c r="O285" s="5">
        <f>_xlfn.XLOOKUP(L285,'Campaign Metadata'!$A$2:$A$6,'Campaign Metadata'!$C$2:$C$6)</f>
        <v>45667</v>
      </c>
      <c r="P285" t="str">
        <f t="shared" si="4"/>
        <v>During</v>
      </c>
    </row>
    <row r="286" spans="1:16" x14ac:dyDescent="0.3">
      <c r="A286" t="s">
        <v>284</v>
      </c>
      <c r="B286" s="21" t="s">
        <v>30</v>
      </c>
      <c r="C286" s="5">
        <v>45663</v>
      </c>
      <c r="D286" s="21" t="s">
        <v>26</v>
      </c>
      <c r="E286" s="21" t="s">
        <v>11</v>
      </c>
      <c r="F286" s="22">
        <v>11860</v>
      </c>
      <c r="G286" s="22">
        <v>1448</v>
      </c>
      <c r="H286" s="22">
        <v>893</v>
      </c>
      <c r="I286" s="22">
        <v>490</v>
      </c>
      <c r="J286" s="22">
        <v>23518</v>
      </c>
      <c r="K286" s="22">
        <v>206205</v>
      </c>
      <c r="L286" s="21" t="s">
        <v>59</v>
      </c>
      <c r="M286" s="4">
        <v>6.8868359157149436E-2</v>
      </c>
      <c r="N286" s="5">
        <f>_xlfn.XLOOKUP(L286,'Campaign Metadata'!$A$2:$A$6,'Campaign Metadata'!$B$2:$B$6)</f>
        <v>45651</v>
      </c>
      <c r="O286" s="5">
        <f>_xlfn.XLOOKUP(L286,'Campaign Metadata'!$A$2:$A$6,'Campaign Metadata'!$C$2:$C$6)</f>
        <v>45667</v>
      </c>
      <c r="P286" t="str">
        <f t="shared" si="4"/>
        <v>During</v>
      </c>
    </row>
    <row r="287" spans="1:16" x14ac:dyDescent="0.3">
      <c r="A287" t="s">
        <v>284</v>
      </c>
      <c r="B287" s="21" t="s">
        <v>30</v>
      </c>
      <c r="C287" s="5">
        <v>45663</v>
      </c>
      <c r="D287" s="21" t="s">
        <v>26</v>
      </c>
      <c r="E287" s="21" t="s">
        <v>1</v>
      </c>
      <c r="F287" s="22">
        <v>11860</v>
      </c>
      <c r="G287" s="22">
        <v>1448</v>
      </c>
      <c r="H287" s="22">
        <v>893</v>
      </c>
      <c r="I287" s="22">
        <v>490</v>
      </c>
      <c r="J287" s="22">
        <v>23518</v>
      </c>
      <c r="K287" s="22">
        <v>206205</v>
      </c>
      <c r="L287" s="21" t="s">
        <v>59</v>
      </c>
      <c r="M287" s="4">
        <v>6.8868359157149436E-2</v>
      </c>
      <c r="N287" s="5">
        <f>_xlfn.XLOOKUP(L287,'Campaign Metadata'!$A$2:$A$6,'Campaign Metadata'!$B$2:$B$6)</f>
        <v>45651</v>
      </c>
      <c r="O287" s="5">
        <f>_xlfn.XLOOKUP(L287,'Campaign Metadata'!$A$2:$A$6,'Campaign Metadata'!$C$2:$C$6)</f>
        <v>45667</v>
      </c>
      <c r="P287" t="str">
        <f t="shared" si="4"/>
        <v>During</v>
      </c>
    </row>
    <row r="288" spans="1:16" x14ac:dyDescent="0.3">
      <c r="A288" t="s">
        <v>226</v>
      </c>
      <c r="B288" s="21" t="s">
        <v>29</v>
      </c>
      <c r="C288" s="5">
        <v>45667</v>
      </c>
      <c r="D288" s="21" t="s">
        <v>25</v>
      </c>
      <c r="E288" s="21" t="s">
        <v>18</v>
      </c>
      <c r="F288" s="22">
        <v>14647</v>
      </c>
      <c r="G288" s="22">
        <v>1168</v>
      </c>
      <c r="H288" s="22">
        <v>484</v>
      </c>
      <c r="I288" s="22">
        <v>2650</v>
      </c>
      <c r="J288" s="22">
        <v>27217</v>
      </c>
      <c r="K288" s="22">
        <v>144061</v>
      </c>
      <c r="L288" s="21" t="s">
        <v>63</v>
      </c>
      <c r="M288" s="4">
        <v>0.11313957281984714</v>
      </c>
      <c r="N288" s="5">
        <f>_xlfn.XLOOKUP(L288,'Campaign Metadata'!$A$2:$A$6,'Campaign Metadata'!$B$2:$B$6)</f>
        <v>45458</v>
      </c>
      <c r="O288" s="5">
        <f>_xlfn.XLOOKUP(L288,'Campaign Metadata'!$A$2:$A$6,'Campaign Metadata'!$C$2:$C$6)</f>
        <v>45488</v>
      </c>
      <c r="P288" t="str">
        <f t="shared" si="4"/>
        <v>After</v>
      </c>
    </row>
    <row r="289" spans="1:16" x14ac:dyDescent="0.3">
      <c r="A289" t="s">
        <v>226</v>
      </c>
      <c r="B289" s="21" t="s">
        <v>29</v>
      </c>
      <c r="C289" s="5">
        <v>45667</v>
      </c>
      <c r="D289" s="21" t="s">
        <v>25</v>
      </c>
      <c r="E289" s="21" t="s">
        <v>15</v>
      </c>
      <c r="F289" s="22">
        <v>14647</v>
      </c>
      <c r="G289" s="22">
        <v>1168</v>
      </c>
      <c r="H289" s="22">
        <v>484</v>
      </c>
      <c r="I289" s="22">
        <v>2650</v>
      </c>
      <c r="J289" s="22">
        <v>27217</v>
      </c>
      <c r="K289" s="22">
        <v>144061</v>
      </c>
      <c r="L289" s="21" t="s">
        <v>63</v>
      </c>
      <c r="M289" s="4">
        <v>0.11313957281984714</v>
      </c>
      <c r="N289" s="5">
        <f>_xlfn.XLOOKUP(L289,'Campaign Metadata'!$A$2:$A$6,'Campaign Metadata'!$B$2:$B$6)</f>
        <v>45458</v>
      </c>
      <c r="O289" s="5">
        <f>_xlfn.XLOOKUP(L289,'Campaign Metadata'!$A$2:$A$6,'Campaign Metadata'!$C$2:$C$6)</f>
        <v>45488</v>
      </c>
      <c r="P289" t="str">
        <f t="shared" si="4"/>
        <v>After</v>
      </c>
    </row>
    <row r="290" spans="1:16" x14ac:dyDescent="0.3">
      <c r="A290" t="s">
        <v>37</v>
      </c>
      <c r="B290" s="21" t="s">
        <v>29</v>
      </c>
      <c r="C290" s="5">
        <v>45668</v>
      </c>
      <c r="D290" s="21" t="s">
        <v>26</v>
      </c>
      <c r="E290" s="21" t="s">
        <v>4</v>
      </c>
      <c r="F290" s="22">
        <v>21181</v>
      </c>
      <c r="G290" s="22">
        <v>1242</v>
      </c>
      <c r="H290" s="22">
        <v>963</v>
      </c>
      <c r="I290" s="22">
        <v>1689</v>
      </c>
      <c r="J290" s="22">
        <v>49329</v>
      </c>
      <c r="K290" s="22">
        <v>69165</v>
      </c>
      <c r="L290" s="21" t="s">
        <v>59</v>
      </c>
      <c r="M290" s="4">
        <v>0.33811899081905589</v>
      </c>
      <c r="N290" s="5">
        <f>_xlfn.XLOOKUP(L290,'Campaign Metadata'!$A$2:$A$6,'Campaign Metadata'!$B$2:$B$6)</f>
        <v>45651</v>
      </c>
      <c r="O290" s="5">
        <f>_xlfn.XLOOKUP(L290,'Campaign Metadata'!$A$2:$A$6,'Campaign Metadata'!$C$2:$C$6)</f>
        <v>45667</v>
      </c>
      <c r="P290" t="str">
        <f t="shared" si="4"/>
        <v>After</v>
      </c>
    </row>
    <row r="291" spans="1:16" x14ac:dyDescent="0.3">
      <c r="A291" t="s">
        <v>37</v>
      </c>
      <c r="B291" s="21" t="s">
        <v>29</v>
      </c>
      <c r="C291" s="5">
        <v>45668</v>
      </c>
      <c r="D291" s="21" t="s">
        <v>26</v>
      </c>
      <c r="E291" s="21" t="s">
        <v>16</v>
      </c>
      <c r="F291" s="22">
        <v>21181</v>
      </c>
      <c r="G291" s="22">
        <v>1242</v>
      </c>
      <c r="H291" s="22">
        <v>963</v>
      </c>
      <c r="I291" s="22">
        <v>1689</v>
      </c>
      <c r="J291" s="22">
        <v>49329</v>
      </c>
      <c r="K291" s="22">
        <v>69165</v>
      </c>
      <c r="L291" s="21" t="s">
        <v>59</v>
      </c>
      <c r="M291" s="4">
        <v>0.33811899081905589</v>
      </c>
      <c r="N291" s="5">
        <f>_xlfn.XLOOKUP(L291,'Campaign Metadata'!$A$2:$A$6,'Campaign Metadata'!$B$2:$B$6)</f>
        <v>45651</v>
      </c>
      <c r="O291" s="5">
        <f>_xlfn.XLOOKUP(L291,'Campaign Metadata'!$A$2:$A$6,'Campaign Metadata'!$C$2:$C$6)</f>
        <v>45667</v>
      </c>
      <c r="P291" t="str">
        <f t="shared" si="4"/>
        <v>After</v>
      </c>
    </row>
    <row r="292" spans="1:16" x14ac:dyDescent="0.3">
      <c r="A292" t="s">
        <v>138</v>
      </c>
      <c r="B292" s="21" t="s">
        <v>32</v>
      </c>
      <c r="C292" s="5">
        <v>45669</v>
      </c>
      <c r="D292" s="21" t="s">
        <v>26</v>
      </c>
      <c r="E292" s="21" t="s">
        <v>3</v>
      </c>
      <c r="F292" s="22">
        <v>4590</v>
      </c>
      <c r="G292" s="22">
        <v>713</v>
      </c>
      <c r="H292" s="22">
        <v>479</v>
      </c>
      <c r="I292" s="22">
        <v>2730</v>
      </c>
      <c r="J292" s="22">
        <v>41050</v>
      </c>
      <c r="K292" s="22">
        <v>204246</v>
      </c>
      <c r="L292" s="21" t="s">
        <v>60</v>
      </c>
      <c r="M292" s="4">
        <v>2.8308999931455206E-2</v>
      </c>
      <c r="N292" s="5">
        <f>_xlfn.XLOOKUP(L292,'Campaign Metadata'!$A$2:$A$6,'Campaign Metadata'!$B$2:$B$6)</f>
        <v>45717</v>
      </c>
      <c r="O292" s="5">
        <f>_xlfn.XLOOKUP(L292,'Campaign Metadata'!$A$2:$A$6,'Campaign Metadata'!$C$2:$C$6)</f>
        <v>45747</v>
      </c>
      <c r="P292" t="str">
        <f t="shared" si="4"/>
        <v>Before</v>
      </c>
    </row>
    <row r="293" spans="1:16" x14ac:dyDescent="0.3">
      <c r="A293" t="s">
        <v>138</v>
      </c>
      <c r="B293" s="21" t="s">
        <v>32</v>
      </c>
      <c r="C293" s="5">
        <v>45669</v>
      </c>
      <c r="D293" s="21" t="s">
        <v>26</v>
      </c>
      <c r="E293" s="21" t="s">
        <v>12</v>
      </c>
      <c r="F293" s="22">
        <v>4590</v>
      </c>
      <c r="G293" s="22">
        <v>713</v>
      </c>
      <c r="H293" s="22">
        <v>479</v>
      </c>
      <c r="I293" s="22">
        <v>2730</v>
      </c>
      <c r="J293" s="22">
        <v>41050</v>
      </c>
      <c r="K293" s="22">
        <v>204246</v>
      </c>
      <c r="L293" s="21" t="s">
        <v>60</v>
      </c>
      <c r="M293" s="4">
        <v>2.8308999931455206E-2</v>
      </c>
      <c r="N293" s="5">
        <f>_xlfn.XLOOKUP(L293,'Campaign Metadata'!$A$2:$A$6,'Campaign Metadata'!$B$2:$B$6)</f>
        <v>45717</v>
      </c>
      <c r="O293" s="5">
        <f>_xlfn.XLOOKUP(L293,'Campaign Metadata'!$A$2:$A$6,'Campaign Metadata'!$C$2:$C$6)</f>
        <v>45747</v>
      </c>
      <c r="P293" t="str">
        <f t="shared" si="4"/>
        <v>Before</v>
      </c>
    </row>
    <row r="294" spans="1:16" x14ac:dyDescent="0.3">
      <c r="A294" t="s">
        <v>61</v>
      </c>
      <c r="B294" s="21" t="s">
        <v>29</v>
      </c>
      <c r="C294" s="5">
        <v>45671</v>
      </c>
      <c r="D294" s="21" t="s">
        <v>25</v>
      </c>
      <c r="E294" s="21" t="s">
        <v>3</v>
      </c>
      <c r="F294" s="22">
        <v>24350</v>
      </c>
      <c r="G294" s="22">
        <v>460</v>
      </c>
      <c r="H294" s="22">
        <v>666</v>
      </c>
      <c r="I294" s="22">
        <v>814</v>
      </c>
      <c r="J294" s="22">
        <v>21120</v>
      </c>
      <c r="K294" s="22">
        <v>76914</v>
      </c>
      <c r="L294" s="21" t="s">
        <v>59</v>
      </c>
      <c r="M294" s="4">
        <v>0.33122708479600593</v>
      </c>
      <c r="N294" s="5">
        <f>_xlfn.XLOOKUP(L294,'Campaign Metadata'!$A$2:$A$6,'Campaign Metadata'!$B$2:$B$6)</f>
        <v>45651</v>
      </c>
      <c r="O294" s="5">
        <f>_xlfn.XLOOKUP(L294,'Campaign Metadata'!$A$2:$A$6,'Campaign Metadata'!$C$2:$C$6)</f>
        <v>45667</v>
      </c>
      <c r="P294" t="str">
        <f t="shared" si="4"/>
        <v>After</v>
      </c>
    </row>
    <row r="295" spans="1:16" x14ac:dyDescent="0.3">
      <c r="A295" t="s">
        <v>61</v>
      </c>
      <c r="B295" s="21" t="s">
        <v>29</v>
      </c>
      <c r="C295" s="5">
        <v>45671</v>
      </c>
      <c r="D295" s="21" t="s">
        <v>25</v>
      </c>
      <c r="E295" s="21" t="s">
        <v>13</v>
      </c>
      <c r="F295" s="22">
        <v>24350</v>
      </c>
      <c r="G295" s="22">
        <v>460</v>
      </c>
      <c r="H295" s="22">
        <v>666</v>
      </c>
      <c r="I295" s="22">
        <v>814</v>
      </c>
      <c r="J295" s="22">
        <v>21120</v>
      </c>
      <c r="K295" s="22">
        <v>76914</v>
      </c>
      <c r="L295" s="21" t="s">
        <v>59</v>
      </c>
      <c r="M295" s="4">
        <v>0.33122708479600593</v>
      </c>
      <c r="N295" s="5">
        <f>_xlfn.XLOOKUP(L295,'Campaign Metadata'!$A$2:$A$6,'Campaign Metadata'!$B$2:$B$6)</f>
        <v>45651</v>
      </c>
      <c r="O295" s="5">
        <f>_xlfn.XLOOKUP(L295,'Campaign Metadata'!$A$2:$A$6,'Campaign Metadata'!$C$2:$C$6)</f>
        <v>45667</v>
      </c>
      <c r="P295" t="str">
        <f t="shared" si="4"/>
        <v>After</v>
      </c>
    </row>
    <row r="296" spans="1:16" x14ac:dyDescent="0.3">
      <c r="A296" t="s">
        <v>38</v>
      </c>
      <c r="B296" s="21" t="s">
        <v>32</v>
      </c>
      <c r="C296" s="5">
        <v>45672</v>
      </c>
      <c r="D296" s="21" t="s">
        <v>27</v>
      </c>
      <c r="E296" s="21" t="s">
        <v>18</v>
      </c>
      <c r="F296" s="22">
        <v>20360</v>
      </c>
      <c r="G296" s="22">
        <v>254</v>
      </c>
      <c r="H296" s="22">
        <v>726</v>
      </c>
      <c r="I296" s="22">
        <v>1995</v>
      </c>
      <c r="J296" s="22">
        <v>14280</v>
      </c>
      <c r="K296" s="22">
        <v>43726</v>
      </c>
      <c r="L296" s="21" t="s">
        <v>63</v>
      </c>
      <c r="M296" s="4">
        <v>0.48803915290673738</v>
      </c>
      <c r="N296" s="5">
        <f>_xlfn.XLOOKUP(L296,'Campaign Metadata'!$A$2:$A$6,'Campaign Metadata'!$B$2:$B$6)</f>
        <v>45458</v>
      </c>
      <c r="O296" s="5">
        <f>_xlfn.XLOOKUP(L296,'Campaign Metadata'!$A$2:$A$6,'Campaign Metadata'!$C$2:$C$6)</f>
        <v>45488</v>
      </c>
      <c r="P296" t="str">
        <f t="shared" si="4"/>
        <v>After</v>
      </c>
    </row>
    <row r="297" spans="1:16" x14ac:dyDescent="0.3">
      <c r="A297" t="s">
        <v>197</v>
      </c>
      <c r="B297" s="21" t="s">
        <v>32</v>
      </c>
      <c r="C297" s="5">
        <v>45672</v>
      </c>
      <c r="D297" s="21" t="s">
        <v>27</v>
      </c>
      <c r="E297" s="21" t="s">
        <v>16</v>
      </c>
      <c r="F297" s="22">
        <v>11333</v>
      </c>
      <c r="G297" s="22">
        <v>920</v>
      </c>
      <c r="H297" s="22">
        <v>294</v>
      </c>
      <c r="I297" s="22">
        <v>606</v>
      </c>
      <c r="J297" s="22">
        <v>59490</v>
      </c>
      <c r="K297" s="22">
        <v>202082</v>
      </c>
      <c r="L297" s="21" t="s">
        <v>60</v>
      </c>
      <c r="M297" s="4">
        <v>6.2088657079799291E-2</v>
      </c>
      <c r="N297" s="5">
        <f>_xlfn.XLOOKUP(L297,'Campaign Metadata'!$A$2:$A$6,'Campaign Metadata'!$B$2:$B$6)</f>
        <v>45717</v>
      </c>
      <c r="O297" s="5">
        <f>_xlfn.XLOOKUP(L297,'Campaign Metadata'!$A$2:$A$6,'Campaign Metadata'!$C$2:$C$6)</f>
        <v>45747</v>
      </c>
      <c r="P297" t="str">
        <f t="shared" si="4"/>
        <v>Before</v>
      </c>
    </row>
    <row r="298" spans="1:16" x14ac:dyDescent="0.3">
      <c r="A298" t="s">
        <v>197</v>
      </c>
      <c r="B298" s="21" t="s">
        <v>32</v>
      </c>
      <c r="C298" s="5">
        <v>45672</v>
      </c>
      <c r="D298" s="21" t="s">
        <v>27</v>
      </c>
      <c r="E298" s="21" t="s">
        <v>4</v>
      </c>
      <c r="F298" s="22">
        <v>11333</v>
      </c>
      <c r="G298" s="22">
        <v>920</v>
      </c>
      <c r="H298" s="22">
        <v>294</v>
      </c>
      <c r="I298" s="22">
        <v>606</v>
      </c>
      <c r="J298" s="22">
        <v>59490</v>
      </c>
      <c r="K298" s="22">
        <v>202082</v>
      </c>
      <c r="L298" s="21" t="s">
        <v>60</v>
      </c>
      <c r="M298" s="4">
        <v>6.2088657079799291E-2</v>
      </c>
      <c r="N298" s="5">
        <f>_xlfn.XLOOKUP(L298,'Campaign Metadata'!$A$2:$A$6,'Campaign Metadata'!$B$2:$B$6)</f>
        <v>45717</v>
      </c>
      <c r="O298" s="5">
        <f>_xlfn.XLOOKUP(L298,'Campaign Metadata'!$A$2:$A$6,'Campaign Metadata'!$C$2:$C$6)</f>
        <v>45747</v>
      </c>
      <c r="P298" t="str">
        <f t="shared" si="4"/>
        <v>Before</v>
      </c>
    </row>
    <row r="299" spans="1:16" x14ac:dyDescent="0.3">
      <c r="A299" t="s">
        <v>192</v>
      </c>
      <c r="B299" s="21" t="s">
        <v>31</v>
      </c>
      <c r="C299" s="5">
        <v>45675</v>
      </c>
      <c r="D299" s="21" t="s">
        <v>27</v>
      </c>
      <c r="E299" s="21" t="s">
        <v>15</v>
      </c>
      <c r="F299" s="22">
        <v>12589</v>
      </c>
      <c r="G299" s="22">
        <v>346</v>
      </c>
      <c r="H299" s="22">
        <v>459</v>
      </c>
      <c r="I299" s="22">
        <v>1407</v>
      </c>
      <c r="J299" s="22">
        <v>29254</v>
      </c>
      <c r="K299" s="22">
        <v>198059</v>
      </c>
      <c r="L299" s="21" t="s">
        <v>60</v>
      </c>
      <c r="M299" s="4">
        <v>6.7626313371268162E-2</v>
      </c>
      <c r="N299" s="5">
        <f>_xlfn.XLOOKUP(L299,'Campaign Metadata'!$A$2:$A$6,'Campaign Metadata'!$B$2:$B$6)</f>
        <v>45717</v>
      </c>
      <c r="O299" s="5">
        <f>_xlfn.XLOOKUP(L299,'Campaign Metadata'!$A$2:$A$6,'Campaign Metadata'!$C$2:$C$6)</f>
        <v>45747</v>
      </c>
      <c r="P299" t="str">
        <f t="shared" si="4"/>
        <v>Before</v>
      </c>
    </row>
    <row r="300" spans="1:16" x14ac:dyDescent="0.3">
      <c r="A300" t="s">
        <v>192</v>
      </c>
      <c r="B300" s="21" t="s">
        <v>31</v>
      </c>
      <c r="C300" s="5">
        <v>45675</v>
      </c>
      <c r="D300" s="21" t="s">
        <v>27</v>
      </c>
      <c r="E300" s="21" t="s">
        <v>18</v>
      </c>
      <c r="F300" s="22">
        <v>12589</v>
      </c>
      <c r="G300" s="22">
        <v>346</v>
      </c>
      <c r="H300" s="22">
        <v>459</v>
      </c>
      <c r="I300" s="22">
        <v>1407</v>
      </c>
      <c r="J300" s="22">
        <v>29254</v>
      </c>
      <c r="K300" s="22">
        <v>198059</v>
      </c>
      <c r="L300" s="21" t="s">
        <v>60</v>
      </c>
      <c r="M300" s="4">
        <v>6.7626313371268162E-2</v>
      </c>
      <c r="N300" s="5">
        <f>_xlfn.XLOOKUP(L300,'Campaign Metadata'!$A$2:$A$6,'Campaign Metadata'!$B$2:$B$6)</f>
        <v>45717</v>
      </c>
      <c r="O300" s="5">
        <f>_xlfn.XLOOKUP(L300,'Campaign Metadata'!$A$2:$A$6,'Campaign Metadata'!$C$2:$C$6)</f>
        <v>45747</v>
      </c>
      <c r="P300" t="str">
        <f t="shared" si="4"/>
        <v>Before</v>
      </c>
    </row>
    <row r="301" spans="1:16" x14ac:dyDescent="0.3">
      <c r="A301" t="s">
        <v>227</v>
      </c>
      <c r="B301" s="21" t="s">
        <v>31</v>
      </c>
      <c r="C301" s="5">
        <v>45675</v>
      </c>
      <c r="D301" s="21" t="s">
        <v>27</v>
      </c>
      <c r="E301" s="21" t="s">
        <v>18</v>
      </c>
      <c r="F301" s="22">
        <v>22673</v>
      </c>
      <c r="G301" s="22">
        <v>1053</v>
      </c>
      <c r="H301" s="22">
        <v>169</v>
      </c>
      <c r="I301" s="22">
        <v>1566</v>
      </c>
      <c r="J301" s="22">
        <v>9417</v>
      </c>
      <c r="K301" s="22">
        <v>221187</v>
      </c>
      <c r="L301" s="21" t="s">
        <v>63</v>
      </c>
      <c r="M301" s="4">
        <v>0.10803076130152314</v>
      </c>
      <c r="N301" s="5">
        <f>_xlfn.XLOOKUP(L301,'Campaign Metadata'!$A$2:$A$6,'Campaign Metadata'!$B$2:$B$6)</f>
        <v>45458</v>
      </c>
      <c r="O301" s="5">
        <f>_xlfn.XLOOKUP(L301,'Campaign Metadata'!$A$2:$A$6,'Campaign Metadata'!$C$2:$C$6)</f>
        <v>45488</v>
      </c>
      <c r="P301" t="str">
        <f t="shared" si="4"/>
        <v>After</v>
      </c>
    </row>
    <row r="302" spans="1:16" x14ac:dyDescent="0.3">
      <c r="A302" t="s">
        <v>227</v>
      </c>
      <c r="B302" s="21" t="s">
        <v>31</v>
      </c>
      <c r="C302" s="5">
        <v>45675</v>
      </c>
      <c r="D302" s="21" t="s">
        <v>27</v>
      </c>
      <c r="E302" s="21" t="s">
        <v>15</v>
      </c>
      <c r="F302" s="22">
        <v>22673</v>
      </c>
      <c r="G302" s="22">
        <v>1053</v>
      </c>
      <c r="H302" s="22">
        <v>169</v>
      </c>
      <c r="I302" s="22">
        <v>1566</v>
      </c>
      <c r="J302" s="22">
        <v>9417</v>
      </c>
      <c r="K302" s="22">
        <v>221187</v>
      </c>
      <c r="L302" s="21" t="s">
        <v>63</v>
      </c>
      <c r="M302" s="4">
        <v>0.10803076130152314</v>
      </c>
      <c r="N302" s="5">
        <f>_xlfn.XLOOKUP(L302,'Campaign Metadata'!$A$2:$A$6,'Campaign Metadata'!$B$2:$B$6)</f>
        <v>45458</v>
      </c>
      <c r="O302" s="5">
        <f>_xlfn.XLOOKUP(L302,'Campaign Metadata'!$A$2:$A$6,'Campaign Metadata'!$C$2:$C$6)</f>
        <v>45488</v>
      </c>
      <c r="P302" t="str">
        <f t="shared" si="4"/>
        <v>After</v>
      </c>
    </row>
    <row r="303" spans="1:16" x14ac:dyDescent="0.3">
      <c r="A303" t="s">
        <v>88</v>
      </c>
      <c r="B303" s="21" t="s">
        <v>30</v>
      </c>
      <c r="C303" s="5">
        <v>45680</v>
      </c>
      <c r="D303" s="21" t="s">
        <v>28</v>
      </c>
      <c r="E303" s="21" t="s">
        <v>3</v>
      </c>
      <c r="F303" s="22">
        <v>23168</v>
      </c>
      <c r="G303" s="22">
        <v>1265</v>
      </c>
      <c r="H303" s="22">
        <v>441</v>
      </c>
      <c r="I303" s="22">
        <v>1612</v>
      </c>
      <c r="J303" s="22">
        <v>66615</v>
      </c>
      <c r="K303" s="22">
        <v>197795</v>
      </c>
      <c r="L303" s="21" t="s">
        <v>63</v>
      </c>
      <c r="M303" s="4">
        <v>0.12575646502692181</v>
      </c>
      <c r="N303" s="5">
        <f>_xlfn.XLOOKUP(L303,'Campaign Metadata'!$A$2:$A$6,'Campaign Metadata'!$B$2:$B$6)</f>
        <v>45458</v>
      </c>
      <c r="O303" s="5">
        <f>_xlfn.XLOOKUP(L303,'Campaign Metadata'!$A$2:$A$6,'Campaign Metadata'!$C$2:$C$6)</f>
        <v>45488</v>
      </c>
      <c r="P303" t="str">
        <f t="shared" si="4"/>
        <v>After</v>
      </c>
    </row>
    <row r="304" spans="1:16" x14ac:dyDescent="0.3">
      <c r="A304" t="s">
        <v>88</v>
      </c>
      <c r="B304" s="21" t="s">
        <v>30</v>
      </c>
      <c r="C304" s="5">
        <v>45680</v>
      </c>
      <c r="D304" s="21" t="s">
        <v>28</v>
      </c>
      <c r="E304" s="21" t="s">
        <v>14</v>
      </c>
      <c r="F304" s="22">
        <v>23168</v>
      </c>
      <c r="G304" s="22">
        <v>1265</v>
      </c>
      <c r="H304" s="22">
        <v>441</v>
      </c>
      <c r="I304" s="22">
        <v>1612</v>
      </c>
      <c r="J304" s="22">
        <v>66615</v>
      </c>
      <c r="K304" s="22">
        <v>197795</v>
      </c>
      <c r="L304" s="21" t="s">
        <v>63</v>
      </c>
      <c r="M304" s="4">
        <v>0.12575646502692181</v>
      </c>
      <c r="N304" s="5">
        <f>_xlfn.XLOOKUP(L304,'Campaign Metadata'!$A$2:$A$6,'Campaign Metadata'!$B$2:$B$6)</f>
        <v>45458</v>
      </c>
      <c r="O304" s="5">
        <f>_xlfn.XLOOKUP(L304,'Campaign Metadata'!$A$2:$A$6,'Campaign Metadata'!$C$2:$C$6)</f>
        <v>45488</v>
      </c>
      <c r="P304" t="str">
        <f t="shared" si="4"/>
        <v>After</v>
      </c>
    </row>
    <row r="305" spans="1:16" x14ac:dyDescent="0.3">
      <c r="A305" t="s">
        <v>108</v>
      </c>
      <c r="B305" s="21" t="s">
        <v>32</v>
      </c>
      <c r="C305" s="5">
        <v>45684</v>
      </c>
      <c r="D305" s="21" t="s">
        <v>25</v>
      </c>
      <c r="E305" s="21" t="s">
        <v>3</v>
      </c>
      <c r="F305" s="22">
        <v>8949</v>
      </c>
      <c r="G305" s="22">
        <v>1477</v>
      </c>
      <c r="H305" s="22">
        <v>424</v>
      </c>
      <c r="I305" s="22">
        <v>1030</v>
      </c>
      <c r="J305" s="22">
        <v>58052</v>
      </c>
      <c r="K305" s="22">
        <v>123310</v>
      </c>
      <c r="L305" s="21" t="s">
        <v>59</v>
      </c>
      <c r="M305" s="4">
        <v>8.7989619657773091E-2</v>
      </c>
      <c r="N305" s="5">
        <f>_xlfn.XLOOKUP(L305,'Campaign Metadata'!$A$2:$A$6,'Campaign Metadata'!$B$2:$B$6)</f>
        <v>45651</v>
      </c>
      <c r="O305" s="5">
        <f>_xlfn.XLOOKUP(L305,'Campaign Metadata'!$A$2:$A$6,'Campaign Metadata'!$C$2:$C$6)</f>
        <v>45667</v>
      </c>
      <c r="P305" t="str">
        <f t="shared" si="4"/>
        <v>After</v>
      </c>
    </row>
    <row r="306" spans="1:16" x14ac:dyDescent="0.3">
      <c r="A306" t="s">
        <v>108</v>
      </c>
      <c r="B306" s="21" t="s">
        <v>32</v>
      </c>
      <c r="C306" s="5">
        <v>45684</v>
      </c>
      <c r="D306" s="21" t="s">
        <v>25</v>
      </c>
      <c r="E306" s="21" t="s">
        <v>14</v>
      </c>
      <c r="F306" s="22">
        <v>8949</v>
      </c>
      <c r="G306" s="22">
        <v>1477</v>
      </c>
      <c r="H306" s="22">
        <v>424</v>
      </c>
      <c r="I306" s="22">
        <v>1030</v>
      </c>
      <c r="J306" s="22">
        <v>58052</v>
      </c>
      <c r="K306" s="22">
        <v>123310</v>
      </c>
      <c r="L306" s="21" t="s">
        <v>59</v>
      </c>
      <c r="M306" s="4">
        <v>8.7989619657773091E-2</v>
      </c>
      <c r="N306" s="5">
        <f>_xlfn.XLOOKUP(L306,'Campaign Metadata'!$A$2:$A$6,'Campaign Metadata'!$B$2:$B$6)</f>
        <v>45651</v>
      </c>
      <c r="O306" s="5">
        <f>_xlfn.XLOOKUP(L306,'Campaign Metadata'!$A$2:$A$6,'Campaign Metadata'!$C$2:$C$6)</f>
        <v>45667</v>
      </c>
      <c r="P306" t="str">
        <f t="shared" si="4"/>
        <v>After</v>
      </c>
    </row>
    <row r="307" spans="1:16" x14ac:dyDescent="0.3">
      <c r="A307" t="s">
        <v>35</v>
      </c>
      <c r="B307" s="21" t="s">
        <v>31</v>
      </c>
      <c r="C307" s="5">
        <v>45684</v>
      </c>
      <c r="D307" s="21" t="s">
        <v>26</v>
      </c>
      <c r="E307" s="21" t="s">
        <v>3</v>
      </c>
      <c r="F307" s="22">
        <v>24415</v>
      </c>
      <c r="G307" s="22">
        <v>860</v>
      </c>
      <c r="H307" s="22">
        <v>931</v>
      </c>
      <c r="I307" s="22">
        <v>320</v>
      </c>
      <c r="J307" s="22">
        <v>65049</v>
      </c>
      <c r="K307" s="22">
        <v>62911</v>
      </c>
      <c r="L307" s="21" t="s">
        <v>59</v>
      </c>
      <c r="M307" s="4">
        <v>0.41655672298962027</v>
      </c>
      <c r="N307" s="5">
        <f>_xlfn.XLOOKUP(L307,'Campaign Metadata'!$A$2:$A$6,'Campaign Metadata'!$B$2:$B$6)</f>
        <v>45651</v>
      </c>
      <c r="O307" s="5">
        <f>_xlfn.XLOOKUP(L307,'Campaign Metadata'!$A$2:$A$6,'Campaign Metadata'!$C$2:$C$6)</f>
        <v>45667</v>
      </c>
      <c r="P307" t="str">
        <f t="shared" si="4"/>
        <v>After</v>
      </c>
    </row>
    <row r="308" spans="1:16" x14ac:dyDescent="0.3">
      <c r="A308" t="s">
        <v>35</v>
      </c>
      <c r="B308" s="21" t="s">
        <v>31</v>
      </c>
      <c r="C308" s="5">
        <v>45684</v>
      </c>
      <c r="D308" s="21" t="s">
        <v>26</v>
      </c>
      <c r="E308" s="21" t="s">
        <v>13</v>
      </c>
      <c r="F308" s="22">
        <v>24415</v>
      </c>
      <c r="G308" s="22">
        <v>860</v>
      </c>
      <c r="H308" s="22">
        <v>931</v>
      </c>
      <c r="I308" s="22">
        <v>320</v>
      </c>
      <c r="J308" s="22">
        <v>65049</v>
      </c>
      <c r="K308" s="22">
        <v>62911</v>
      </c>
      <c r="L308" s="21" t="s">
        <v>59</v>
      </c>
      <c r="M308" s="4">
        <v>0.41655672298962027</v>
      </c>
      <c r="N308" s="5">
        <f>_xlfn.XLOOKUP(L308,'Campaign Metadata'!$A$2:$A$6,'Campaign Metadata'!$B$2:$B$6)</f>
        <v>45651</v>
      </c>
      <c r="O308" s="5">
        <f>_xlfn.XLOOKUP(L308,'Campaign Metadata'!$A$2:$A$6,'Campaign Metadata'!$C$2:$C$6)</f>
        <v>45667</v>
      </c>
      <c r="P308" t="str">
        <f t="shared" si="4"/>
        <v>After</v>
      </c>
    </row>
    <row r="309" spans="1:16" x14ac:dyDescent="0.3">
      <c r="A309" t="s">
        <v>177</v>
      </c>
      <c r="B309" s="21" t="s">
        <v>29</v>
      </c>
      <c r="C309" s="5">
        <v>45685</v>
      </c>
      <c r="D309" s="21" t="s">
        <v>27</v>
      </c>
      <c r="E309" s="21" t="s">
        <v>7</v>
      </c>
      <c r="F309" s="22">
        <v>9239</v>
      </c>
      <c r="G309" s="22">
        <v>1477</v>
      </c>
      <c r="H309" s="22">
        <v>631</v>
      </c>
      <c r="I309" s="22">
        <v>1556</v>
      </c>
      <c r="J309" s="22">
        <v>11580</v>
      </c>
      <c r="K309" s="22">
        <v>84738</v>
      </c>
      <c r="L309" s="21" t="s">
        <v>60</v>
      </c>
      <c r="M309" s="4">
        <v>0.13390686586891359</v>
      </c>
      <c r="N309" s="5">
        <f>_xlfn.XLOOKUP(L309,'Campaign Metadata'!$A$2:$A$6,'Campaign Metadata'!$B$2:$B$6)</f>
        <v>45717</v>
      </c>
      <c r="O309" s="5">
        <f>_xlfn.XLOOKUP(L309,'Campaign Metadata'!$A$2:$A$6,'Campaign Metadata'!$C$2:$C$6)</f>
        <v>45747</v>
      </c>
      <c r="P309" t="str">
        <f t="shared" si="4"/>
        <v>Before</v>
      </c>
    </row>
    <row r="310" spans="1:16" x14ac:dyDescent="0.3">
      <c r="A310" t="s">
        <v>177</v>
      </c>
      <c r="B310" s="21" t="s">
        <v>29</v>
      </c>
      <c r="C310" s="5">
        <v>45685</v>
      </c>
      <c r="D310" s="21" t="s">
        <v>27</v>
      </c>
      <c r="E310" s="21" t="s">
        <v>9</v>
      </c>
      <c r="F310" s="22">
        <v>9239</v>
      </c>
      <c r="G310" s="22">
        <v>1477</v>
      </c>
      <c r="H310" s="22">
        <v>631</v>
      </c>
      <c r="I310" s="22">
        <v>1556</v>
      </c>
      <c r="J310" s="22">
        <v>11580</v>
      </c>
      <c r="K310" s="22">
        <v>84738</v>
      </c>
      <c r="L310" s="21" t="s">
        <v>60</v>
      </c>
      <c r="M310" s="4">
        <v>0.13390686586891359</v>
      </c>
      <c r="N310" s="5">
        <f>_xlfn.XLOOKUP(L310,'Campaign Metadata'!$A$2:$A$6,'Campaign Metadata'!$B$2:$B$6)</f>
        <v>45717</v>
      </c>
      <c r="O310" s="5">
        <f>_xlfn.XLOOKUP(L310,'Campaign Metadata'!$A$2:$A$6,'Campaign Metadata'!$C$2:$C$6)</f>
        <v>45747</v>
      </c>
      <c r="P310" t="str">
        <f t="shared" si="4"/>
        <v>Before</v>
      </c>
    </row>
    <row r="311" spans="1:16" x14ac:dyDescent="0.3">
      <c r="A311" t="s">
        <v>291</v>
      </c>
      <c r="B311" s="21" t="s">
        <v>30</v>
      </c>
      <c r="C311" s="5">
        <v>45685</v>
      </c>
      <c r="D311" s="21" t="s">
        <v>25</v>
      </c>
      <c r="E311" s="21" t="s">
        <v>5</v>
      </c>
      <c r="F311" s="22">
        <v>9943</v>
      </c>
      <c r="G311" s="22">
        <v>1274</v>
      </c>
      <c r="H311" s="22">
        <v>336</v>
      </c>
      <c r="I311" s="22">
        <v>389</v>
      </c>
      <c r="J311" s="22">
        <v>6145</v>
      </c>
      <c r="K311" s="22">
        <v>231305</v>
      </c>
      <c r="L311" s="21" t="s">
        <v>59</v>
      </c>
      <c r="M311" s="4">
        <v>4.9947039623008581E-2</v>
      </c>
      <c r="N311" s="5">
        <f>_xlfn.XLOOKUP(L311,'Campaign Metadata'!$A$2:$A$6,'Campaign Metadata'!$B$2:$B$6)</f>
        <v>45651</v>
      </c>
      <c r="O311" s="5">
        <f>_xlfn.XLOOKUP(L311,'Campaign Metadata'!$A$2:$A$6,'Campaign Metadata'!$C$2:$C$6)</f>
        <v>45667</v>
      </c>
      <c r="P311" t="str">
        <f t="shared" si="4"/>
        <v>After</v>
      </c>
    </row>
    <row r="312" spans="1:16" x14ac:dyDescent="0.3">
      <c r="A312" t="s">
        <v>291</v>
      </c>
      <c r="B312" s="21" t="s">
        <v>30</v>
      </c>
      <c r="C312" s="5">
        <v>45685</v>
      </c>
      <c r="D312" s="21" t="s">
        <v>25</v>
      </c>
      <c r="E312" s="21" t="s">
        <v>6</v>
      </c>
      <c r="F312" s="22">
        <v>9943</v>
      </c>
      <c r="G312" s="22">
        <v>1274</v>
      </c>
      <c r="H312" s="22">
        <v>336</v>
      </c>
      <c r="I312" s="22">
        <v>389</v>
      </c>
      <c r="J312" s="22">
        <v>6145</v>
      </c>
      <c r="K312" s="22">
        <v>231305</v>
      </c>
      <c r="L312" s="21" t="s">
        <v>59</v>
      </c>
      <c r="M312" s="4">
        <v>4.9947039623008581E-2</v>
      </c>
      <c r="N312" s="5">
        <f>_xlfn.XLOOKUP(L312,'Campaign Metadata'!$A$2:$A$6,'Campaign Metadata'!$B$2:$B$6)</f>
        <v>45651</v>
      </c>
      <c r="O312" s="5">
        <f>_xlfn.XLOOKUP(L312,'Campaign Metadata'!$A$2:$A$6,'Campaign Metadata'!$C$2:$C$6)</f>
        <v>45667</v>
      </c>
      <c r="P312" t="str">
        <f t="shared" si="4"/>
        <v>After</v>
      </c>
    </row>
    <row r="313" spans="1:16" x14ac:dyDescent="0.3">
      <c r="A313" t="s">
        <v>260</v>
      </c>
      <c r="B313" s="21" t="s">
        <v>29</v>
      </c>
      <c r="C313" s="5">
        <v>45687</v>
      </c>
      <c r="D313" s="21" t="s">
        <v>27</v>
      </c>
      <c r="E313" s="21" t="s">
        <v>15</v>
      </c>
      <c r="F313" s="22">
        <v>12954</v>
      </c>
      <c r="G313" s="22">
        <v>913</v>
      </c>
      <c r="H313" s="22">
        <v>722</v>
      </c>
      <c r="I313" s="22">
        <v>1049</v>
      </c>
      <c r="J313" s="22">
        <v>475</v>
      </c>
      <c r="K313" s="22">
        <v>97716</v>
      </c>
      <c r="L313" s="21" t="s">
        <v>59</v>
      </c>
      <c r="M313" s="4">
        <v>0.14930001228048631</v>
      </c>
      <c r="N313" s="5">
        <f>_xlfn.XLOOKUP(L313,'Campaign Metadata'!$A$2:$A$6,'Campaign Metadata'!$B$2:$B$6)</f>
        <v>45651</v>
      </c>
      <c r="O313" s="5">
        <f>_xlfn.XLOOKUP(L313,'Campaign Metadata'!$A$2:$A$6,'Campaign Metadata'!$C$2:$C$6)</f>
        <v>45667</v>
      </c>
      <c r="P313" t="str">
        <f t="shared" si="4"/>
        <v>After</v>
      </c>
    </row>
    <row r="314" spans="1:16" x14ac:dyDescent="0.3">
      <c r="A314" t="s">
        <v>260</v>
      </c>
      <c r="B314" s="21" t="s">
        <v>29</v>
      </c>
      <c r="C314" s="5">
        <v>45687</v>
      </c>
      <c r="D314" s="21" t="s">
        <v>27</v>
      </c>
      <c r="E314" s="21" t="s">
        <v>18</v>
      </c>
      <c r="F314" s="22">
        <v>12954</v>
      </c>
      <c r="G314" s="22">
        <v>913</v>
      </c>
      <c r="H314" s="22">
        <v>722</v>
      </c>
      <c r="I314" s="22">
        <v>1049</v>
      </c>
      <c r="J314" s="22">
        <v>475</v>
      </c>
      <c r="K314" s="22">
        <v>97716</v>
      </c>
      <c r="L314" s="21" t="s">
        <v>59</v>
      </c>
      <c r="M314" s="4">
        <v>0.14930001228048631</v>
      </c>
      <c r="N314" s="5">
        <f>_xlfn.XLOOKUP(L314,'Campaign Metadata'!$A$2:$A$6,'Campaign Metadata'!$B$2:$B$6)</f>
        <v>45651</v>
      </c>
      <c r="O314" s="5">
        <f>_xlfn.XLOOKUP(L314,'Campaign Metadata'!$A$2:$A$6,'Campaign Metadata'!$C$2:$C$6)</f>
        <v>45667</v>
      </c>
      <c r="P314" t="str">
        <f t="shared" si="4"/>
        <v>After</v>
      </c>
    </row>
    <row r="315" spans="1:16" x14ac:dyDescent="0.3">
      <c r="A315" t="s">
        <v>115</v>
      </c>
      <c r="B315" s="21" t="s">
        <v>32</v>
      </c>
      <c r="C315" s="5">
        <v>45690</v>
      </c>
      <c r="D315" s="21" t="s">
        <v>25</v>
      </c>
      <c r="E315" s="21" t="s">
        <v>3</v>
      </c>
      <c r="F315" s="22">
        <v>12136</v>
      </c>
      <c r="G315" s="22">
        <v>1117</v>
      </c>
      <c r="H315" s="22">
        <v>834</v>
      </c>
      <c r="I315" s="22">
        <v>892</v>
      </c>
      <c r="J315" s="22">
        <v>24675</v>
      </c>
      <c r="K315" s="22">
        <v>183273</v>
      </c>
      <c r="L315" s="21" t="s">
        <v>60</v>
      </c>
      <c r="M315" s="4">
        <v>7.6863476889667326E-2</v>
      </c>
      <c r="N315" s="5">
        <f>_xlfn.XLOOKUP(L315,'Campaign Metadata'!$A$2:$A$6,'Campaign Metadata'!$B$2:$B$6)</f>
        <v>45717</v>
      </c>
      <c r="O315" s="5">
        <f>_xlfn.XLOOKUP(L315,'Campaign Metadata'!$A$2:$A$6,'Campaign Metadata'!$C$2:$C$6)</f>
        <v>45747</v>
      </c>
      <c r="P315" t="str">
        <f t="shared" si="4"/>
        <v>Before</v>
      </c>
    </row>
    <row r="316" spans="1:16" x14ac:dyDescent="0.3">
      <c r="A316" t="s">
        <v>115</v>
      </c>
      <c r="B316" s="21" t="s">
        <v>32</v>
      </c>
      <c r="C316" s="5">
        <v>45690</v>
      </c>
      <c r="D316" s="21" t="s">
        <v>25</v>
      </c>
      <c r="E316" s="21" t="s">
        <v>12</v>
      </c>
      <c r="F316" s="22">
        <v>12136</v>
      </c>
      <c r="G316" s="22">
        <v>1117</v>
      </c>
      <c r="H316" s="22">
        <v>834</v>
      </c>
      <c r="I316" s="22">
        <v>892</v>
      </c>
      <c r="J316" s="22">
        <v>24675</v>
      </c>
      <c r="K316" s="22">
        <v>183273</v>
      </c>
      <c r="L316" s="21" t="s">
        <v>60</v>
      </c>
      <c r="M316" s="4">
        <v>7.6863476889667326E-2</v>
      </c>
      <c r="N316" s="5">
        <f>_xlfn.XLOOKUP(L316,'Campaign Metadata'!$A$2:$A$6,'Campaign Metadata'!$B$2:$B$6)</f>
        <v>45717</v>
      </c>
      <c r="O316" s="5">
        <f>_xlfn.XLOOKUP(L316,'Campaign Metadata'!$A$2:$A$6,'Campaign Metadata'!$C$2:$C$6)</f>
        <v>45747</v>
      </c>
      <c r="P316" t="str">
        <f t="shared" si="4"/>
        <v>Before</v>
      </c>
    </row>
    <row r="317" spans="1:16" x14ac:dyDescent="0.3">
      <c r="A317" t="s">
        <v>209</v>
      </c>
      <c r="B317" s="21" t="s">
        <v>31</v>
      </c>
      <c r="C317" s="5">
        <v>45692</v>
      </c>
      <c r="D317" s="21" t="s">
        <v>25</v>
      </c>
      <c r="E317" s="21" t="s">
        <v>7</v>
      </c>
      <c r="F317" s="22">
        <v>23833</v>
      </c>
      <c r="G317" s="22">
        <v>555</v>
      </c>
      <c r="H317" s="22">
        <v>523</v>
      </c>
      <c r="I317" s="22">
        <v>1330</v>
      </c>
      <c r="J317" s="22">
        <v>69141</v>
      </c>
      <c r="K317" s="22">
        <v>73997</v>
      </c>
      <c r="L317" s="21" t="s">
        <v>63</v>
      </c>
      <c r="M317" s="4">
        <v>0.33664878305877266</v>
      </c>
      <c r="N317" s="5">
        <f>_xlfn.XLOOKUP(L317,'Campaign Metadata'!$A$2:$A$6,'Campaign Metadata'!$B$2:$B$6)</f>
        <v>45458</v>
      </c>
      <c r="O317" s="5">
        <f>_xlfn.XLOOKUP(L317,'Campaign Metadata'!$A$2:$A$6,'Campaign Metadata'!$C$2:$C$6)</f>
        <v>45488</v>
      </c>
      <c r="P317" t="str">
        <f t="shared" si="4"/>
        <v>After</v>
      </c>
    </row>
    <row r="318" spans="1:16" x14ac:dyDescent="0.3">
      <c r="A318" t="s">
        <v>209</v>
      </c>
      <c r="B318" s="21" t="s">
        <v>31</v>
      </c>
      <c r="C318" s="5">
        <v>45692</v>
      </c>
      <c r="D318" s="21" t="s">
        <v>25</v>
      </c>
      <c r="E318" s="21" t="s">
        <v>9</v>
      </c>
      <c r="F318" s="22">
        <v>23833</v>
      </c>
      <c r="G318" s="22">
        <v>555</v>
      </c>
      <c r="H318" s="22">
        <v>523</v>
      </c>
      <c r="I318" s="22">
        <v>1330</v>
      </c>
      <c r="J318" s="22">
        <v>69141</v>
      </c>
      <c r="K318" s="22">
        <v>73997</v>
      </c>
      <c r="L318" s="21" t="s">
        <v>63</v>
      </c>
      <c r="M318" s="4">
        <v>0.33664878305877266</v>
      </c>
      <c r="N318" s="5">
        <f>_xlfn.XLOOKUP(L318,'Campaign Metadata'!$A$2:$A$6,'Campaign Metadata'!$B$2:$B$6)</f>
        <v>45458</v>
      </c>
      <c r="O318" s="5">
        <f>_xlfn.XLOOKUP(L318,'Campaign Metadata'!$A$2:$A$6,'Campaign Metadata'!$C$2:$C$6)</f>
        <v>45488</v>
      </c>
      <c r="P318" t="str">
        <f t="shared" si="4"/>
        <v>After</v>
      </c>
    </row>
    <row r="319" spans="1:16" x14ac:dyDescent="0.3">
      <c r="A319" t="s">
        <v>198</v>
      </c>
      <c r="B319" s="21" t="s">
        <v>29</v>
      </c>
      <c r="C319" s="5">
        <v>45694</v>
      </c>
      <c r="D319" s="21" t="s">
        <v>26</v>
      </c>
      <c r="E319" s="21" t="s">
        <v>10</v>
      </c>
      <c r="F319" s="22">
        <v>2666</v>
      </c>
      <c r="G319" s="22">
        <v>1136</v>
      </c>
      <c r="H319" s="22">
        <v>989</v>
      </c>
      <c r="I319" s="22">
        <v>1710</v>
      </c>
      <c r="J319" s="22">
        <v>36467</v>
      </c>
      <c r="K319" s="22">
        <v>83753</v>
      </c>
      <c r="L319" s="21" t="s">
        <v>60</v>
      </c>
      <c r="M319" s="4">
        <v>5.7203921053574198E-2</v>
      </c>
      <c r="N319" s="5">
        <f>_xlfn.XLOOKUP(L319,'Campaign Metadata'!$A$2:$A$6,'Campaign Metadata'!$B$2:$B$6)</f>
        <v>45717</v>
      </c>
      <c r="O319" s="5">
        <f>_xlfn.XLOOKUP(L319,'Campaign Metadata'!$A$2:$A$6,'Campaign Metadata'!$C$2:$C$6)</f>
        <v>45747</v>
      </c>
      <c r="P319" t="str">
        <f t="shared" si="4"/>
        <v>Before</v>
      </c>
    </row>
    <row r="320" spans="1:16" x14ac:dyDescent="0.3">
      <c r="A320" t="s">
        <v>198</v>
      </c>
      <c r="B320" s="21" t="s">
        <v>29</v>
      </c>
      <c r="C320" s="5">
        <v>45694</v>
      </c>
      <c r="D320" s="21" t="s">
        <v>26</v>
      </c>
      <c r="E320" s="21" t="s">
        <v>8</v>
      </c>
      <c r="F320" s="22">
        <v>2666</v>
      </c>
      <c r="G320" s="22">
        <v>1136</v>
      </c>
      <c r="H320" s="22">
        <v>989</v>
      </c>
      <c r="I320" s="22">
        <v>1710</v>
      </c>
      <c r="J320" s="22">
        <v>36467</v>
      </c>
      <c r="K320" s="22">
        <v>83753</v>
      </c>
      <c r="L320" s="21" t="s">
        <v>60</v>
      </c>
      <c r="M320" s="4">
        <v>5.7203921053574198E-2</v>
      </c>
      <c r="N320" s="5">
        <f>_xlfn.XLOOKUP(L320,'Campaign Metadata'!$A$2:$A$6,'Campaign Metadata'!$B$2:$B$6)</f>
        <v>45717</v>
      </c>
      <c r="O320" s="5">
        <f>_xlfn.XLOOKUP(L320,'Campaign Metadata'!$A$2:$A$6,'Campaign Metadata'!$C$2:$C$6)</f>
        <v>45747</v>
      </c>
      <c r="P320" t="str">
        <f t="shared" si="4"/>
        <v>Before</v>
      </c>
    </row>
    <row r="321" spans="1:16" x14ac:dyDescent="0.3">
      <c r="A321" t="s">
        <v>144</v>
      </c>
      <c r="B321" s="21" t="s">
        <v>30</v>
      </c>
      <c r="C321" s="5">
        <v>45695</v>
      </c>
      <c r="D321" s="21" t="s">
        <v>25</v>
      </c>
      <c r="E321" s="21" t="s">
        <v>2</v>
      </c>
      <c r="F321" s="22">
        <v>20290</v>
      </c>
      <c r="G321" s="22">
        <v>619</v>
      </c>
      <c r="H321" s="22">
        <v>927</v>
      </c>
      <c r="I321" s="22">
        <v>1186</v>
      </c>
      <c r="J321" s="22">
        <v>8924</v>
      </c>
      <c r="K321" s="22">
        <v>96503</v>
      </c>
      <c r="L321" s="21" t="s">
        <v>65</v>
      </c>
      <c r="M321" s="4">
        <v>0.22627275835984373</v>
      </c>
      <c r="N321" s="5">
        <f>_xlfn.XLOOKUP(L321,'Campaign Metadata'!$A$2:$A$6,'Campaign Metadata'!$B$2:$B$6)</f>
        <v>45566</v>
      </c>
      <c r="O321" s="5">
        <f>_xlfn.XLOOKUP(L321,'Campaign Metadata'!$A$2:$A$6,'Campaign Metadata'!$C$2:$C$6)</f>
        <v>45596</v>
      </c>
      <c r="P321" t="str">
        <f t="shared" si="4"/>
        <v>After</v>
      </c>
    </row>
    <row r="322" spans="1:16" x14ac:dyDescent="0.3">
      <c r="A322" t="s">
        <v>144</v>
      </c>
      <c r="B322" s="21" t="s">
        <v>30</v>
      </c>
      <c r="C322" s="5">
        <v>45695</v>
      </c>
      <c r="D322" s="21" t="s">
        <v>25</v>
      </c>
      <c r="E322" s="21" t="s">
        <v>19</v>
      </c>
      <c r="F322" s="22">
        <v>20290</v>
      </c>
      <c r="G322" s="22">
        <v>619</v>
      </c>
      <c r="H322" s="22">
        <v>927</v>
      </c>
      <c r="I322" s="22">
        <v>1186</v>
      </c>
      <c r="J322" s="22">
        <v>8924</v>
      </c>
      <c r="K322" s="22">
        <v>96503</v>
      </c>
      <c r="L322" s="21" t="s">
        <v>65</v>
      </c>
      <c r="M322" s="4">
        <v>0.22627275835984373</v>
      </c>
      <c r="N322" s="5">
        <f>_xlfn.XLOOKUP(L322,'Campaign Metadata'!$A$2:$A$6,'Campaign Metadata'!$B$2:$B$6)</f>
        <v>45566</v>
      </c>
      <c r="O322" s="5">
        <f>_xlfn.XLOOKUP(L322,'Campaign Metadata'!$A$2:$A$6,'Campaign Metadata'!$C$2:$C$6)</f>
        <v>45596</v>
      </c>
      <c r="P322" t="str">
        <f t="shared" si="4"/>
        <v>After</v>
      </c>
    </row>
    <row r="323" spans="1:16" x14ac:dyDescent="0.3">
      <c r="A323" t="s">
        <v>231</v>
      </c>
      <c r="B323" s="21" t="s">
        <v>30</v>
      </c>
      <c r="C323" s="5">
        <v>45698</v>
      </c>
      <c r="D323" s="21" t="s">
        <v>25</v>
      </c>
      <c r="E323" s="21" t="s">
        <v>4</v>
      </c>
      <c r="F323" s="22">
        <v>16309</v>
      </c>
      <c r="G323" s="22">
        <v>1449</v>
      </c>
      <c r="H323" s="22">
        <v>838</v>
      </c>
      <c r="I323" s="22">
        <v>2434</v>
      </c>
      <c r="J323" s="22">
        <v>2940</v>
      </c>
      <c r="K323" s="22">
        <v>217953</v>
      </c>
      <c r="L323" s="21" t="s">
        <v>63</v>
      </c>
      <c r="M323" s="4">
        <v>8.5321147219813445E-2</v>
      </c>
      <c r="N323" s="5">
        <f>_xlfn.XLOOKUP(L323,'Campaign Metadata'!$A$2:$A$6,'Campaign Metadata'!$B$2:$B$6)</f>
        <v>45458</v>
      </c>
      <c r="O323" s="5">
        <f>_xlfn.XLOOKUP(L323,'Campaign Metadata'!$A$2:$A$6,'Campaign Metadata'!$C$2:$C$6)</f>
        <v>45488</v>
      </c>
      <c r="P323" t="str">
        <f t="shared" ref="P323:P386" si="5">IF(C323&lt;N323, "Before", IF(C323&gt;O323, "After", "During"))</f>
        <v>After</v>
      </c>
    </row>
    <row r="324" spans="1:16" x14ac:dyDescent="0.3">
      <c r="A324" t="s">
        <v>231</v>
      </c>
      <c r="B324" s="21" t="s">
        <v>30</v>
      </c>
      <c r="C324" s="5">
        <v>45698</v>
      </c>
      <c r="D324" s="21" t="s">
        <v>25</v>
      </c>
      <c r="E324" s="21" t="s">
        <v>16</v>
      </c>
      <c r="F324" s="22">
        <v>16309</v>
      </c>
      <c r="G324" s="22">
        <v>1449</v>
      </c>
      <c r="H324" s="22">
        <v>838</v>
      </c>
      <c r="I324" s="22">
        <v>2434</v>
      </c>
      <c r="J324" s="22">
        <v>2940</v>
      </c>
      <c r="K324" s="22">
        <v>217953</v>
      </c>
      <c r="L324" s="21" t="s">
        <v>63</v>
      </c>
      <c r="M324" s="4">
        <v>8.5321147219813445E-2</v>
      </c>
      <c r="N324" s="5">
        <f>_xlfn.XLOOKUP(L324,'Campaign Metadata'!$A$2:$A$6,'Campaign Metadata'!$B$2:$B$6)</f>
        <v>45458</v>
      </c>
      <c r="O324" s="5">
        <f>_xlfn.XLOOKUP(L324,'Campaign Metadata'!$A$2:$A$6,'Campaign Metadata'!$C$2:$C$6)</f>
        <v>45488</v>
      </c>
      <c r="P324" t="str">
        <f t="shared" si="5"/>
        <v>After</v>
      </c>
    </row>
    <row r="325" spans="1:16" x14ac:dyDescent="0.3">
      <c r="A325" t="s">
        <v>274</v>
      </c>
      <c r="B325" s="21" t="s">
        <v>30</v>
      </c>
      <c r="C325" s="5">
        <v>45699</v>
      </c>
      <c r="D325" s="21" t="s">
        <v>25</v>
      </c>
      <c r="E325" s="21" t="s">
        <v>2</v>
      </c>
      <c r="F325" s="22">
        <v>3619</v>
      </c>
      <c r="G325" s="22">
        <v>1376</v>
      </c>
      <c r="H325" s="22">
        <v>410</v>
      </c>
      <c r="I325" s="22">
        <v>2499</v>
      </c>
      <c r="J325" s="22">
        <v>58146</v>
      </c>
      <c r="K325" s="22">
        <v>52149</v>
      </c>
      <c r="L325" s="21" t="s">
        <v>59</v>
      </c>
      <c r="M325" s="4">
        <v>0.10364532397553165</v>
      </c>
      <c r="N325" s="5">
        <f>_xlfn.XLOOKUP(L325,'Campaign Metadata'!$A$2:$A$6,'Campaign Metadata'!$B$2:$B$6)</f>
        <v>45651</v>
      </c>
      <c r="O325" s="5">
        <f>_xlfn.XLOOKUP(L325,'Campaign Metadata'!$A$2:$A$6,'Campaign Metadata'!$C$2:$C$6)</f>
        <v>45667</v>
      </c>
      <c r="P325" t="str">
        <f t="shared" si="5"/>
        <v>After</v>
      </c>
    </row>
    <row r="326" spans="1:16" x14ac:dyDescent="0.3">
      <c r="A326" t="s">
        <v>274</v>
      </c>
      <c r="B326" s="21" t="s">
        <v>30</v>
      </c>
      <c r="C326" s="5">
        <v>45699</v>
      </c>
      <c r="D326" s="21" t="s">
        <v>25</v>
      </c>
      <c r="E326" s="21" t="s">
        <v>19</v>
      </c>
      <c r="F326" s="22">
        <v>3619</v>
      </c>
      <c r="G326" s="22">
        <v>1376</v>
      </c>
      <c r="H326" s="22">
        <v>410</v>
      </c>
      <c r="I326" s="22">
        <v>2499</v>
      </c>
      <c r="J326" s="22">
        <v>58146</v>
      </c>
      <c r="K326" s="22">
        <v>52149</v>
      </c>
      <c r="L326" s="21" t="s">
        <v>59</v>
      </c>
      <c r="M326" s="4">
        <v>0.10364532397553165</v>
      </c>
      <c r="N326" s="5">
        <f>_xlfn.XLOOKUP(L326,'Campaign Metadata'!$A$2:$A$6,'Campaign Metadata'!$B$2:$B$6)</f>
        <v>45651</v>
      </c>
      <c r="O326" s="5">
        <f>_xlfn.XLOOKUP(L326,'Campaign Metadata'!$A$2:$A$6,'Campaign Metadata'!$C$2:$C$6)</f>
        <v>45667</v>
      </c>
      <c r="P326" t="str">
        <f t="shared" si="5"/>
        <v>After</v>
      </c>
    </row>
    <row r="327" spans="1:16" x14ac:dyDescent="0.3">
      <c r="A327" t="s">
        <v>146</v>
      </c>
      <c r="B327" s="21" t="s">
        <v>32</v>
      </c>
      <c r="C327" s="5">
        <v>45700</v>
      </c>
      <c r="D327" s="21" t="s">
        <v>28</v>
      </c>
      <c r="E327" s="21" t="s">
        <v>16</v>
      </c>
      <c r="F327" s="22">
        <v>15234</v>
      </c>
      <c r="G327" s="22">
        <v>1276</v>
      </c>
      <c r="H327" s="22">
        <v>670</v>
      </c>
      <c r="I327" s="22">
        <v>1860</v>
      </c>
      <c r="J327" s="22">
        <v>60397</v>
      </c>
      <c r="K327" s="22">
        <v>86413</v>
      </c>
      <c r="L327" s="21" t="s">
        <v>65</v>
      </c>
      <c r="M327" s="4">
        <v>0.19881267864788862</v>
      </c>
      <c r="N327" s="5">
        <f>_xlfn.XLOOKUP(L327,'Campaign Metadata'!$A$2:$A$6,'Campaign Metadata'!$B$2:$B$6)</f>
        <v>45566</v>
      </c>
      <c r="O327" s="5">
        <f>_xlfn.XLOOKUP(L327,'Campaign Metadata'!$A$2:$A$6,'Campaign Metadata'!$C$2:$C$6)</f>
        <v>45596</v>
      </c>
      <c r="P327" t="str">
        <f t="shared" si="5"/>
        <v>After</v>
      </c>
    </row>
    <row r="328" spans="1:16" x14ac:dyDescent="0.3">
      <c r="A328" t="s">
        <v>146</v>
      </c>
      <c r="B328" s="21" t="s">
        <v>32</v>
      </c>
      <c r="C328" s="5">
        <v>45700</v>
      </c>
      <c r="D328" s="21" t="s">
        <v>28</v>
      </c>
      <c r="E328" s="21" t="s">
        <v>4</v>
      </c>
      <c r="F328" s="22">
        <v>15234</v>
      </c>
      <c r="G328" s="22">
        <v>1276</v>
      </c>
      <c r="H328" s="22">
        <v>670</v>
      </c>
      <c r="I328" s="22">
        <v>1860</v>
      </c>
      <c r="J328" s="22">
        <v>60397</v>
      </c>
      <c r="K328" s="22">
        <v>86413</v>
      </c>
      <c r="L328" s="21" t="s">
        <v>65</v>
      </c>
      <c r="M328" s="4">
        <v>0.19881267864788862</v>
      </c>
      <c r="N328" s="5">
        <f>_xlfn.XLOOKUP(L328,'Campaign Metadata'!$A$2:$A$6,'Campaign Metadata'!$B$2:$B$6)</f>
        <v>45566</v>
      </c>
      <c r="O328" s="5">
        <f>_xlfn.XLOOKUP(L328,'Campaign Metadata'!$A$2:$A$6,'Campaign Metadata'!$C$2:$C$6)</f>
        <v>45596</v>
      </c>
      <c r="P328" t="str">
        <f t="shared" si="5"/>
        <v>After</v>
      </c>
    </row>
    <row r="329" spans="1:16" x14ac:dyDescent="0.3">
      <c r="A329" t="s">
        <v>101</v>
      </c>
      <c r="B329" s="21" t="s">
        <v>29</v>
      </c>
      <c r="C329" s="5">
        <v>45704</v>
      </c>
      <c r="D329" s="21" t="s">
        <v>27</v>
      </c>
      <c r="E329" s="21" t="s">
        <v>3</v>
      </c>
      <c r="F329" s="22">
        <v>24195</v>
      </c>
      <c r="G329" s="22">
        <v>888</v>
      </c>
      <c r="H329" s="22">
        <v>165</v>
      </c>
      <c r="I329" s="22">
        <v>1559</v>
      </c>
      <c r="J329" s="22">
        <v>11596</v>
      </c>
      <c r="K329" s="22">
        <v>249988</v>
      </c>
      <c r="L329" s="21" t="s">
        <v>60</v>
      </c>
      <c r="M329" s="4">
        <v>0.10099684784869674</v>
      </c>
      <c r="N329" s="5">
        <f>_xlfn.XLOOKUP(L329,'Campaign Metadata'!$A$2:$A$6,'Campaign Metadata'!$B$2:$B$6)</f>
        <v>45717</v>
      </c>
      <c r="O329" s="5">
        <f>_xlfn.XLOOKUP(L329,'Campaign Metadata'!$A$2:$A$6,'Campaign Metadata'!$C$2:$C$6)</f>
        <v>45747</v>
      </c>
      <c r="P329" t="str">
        <f t="shared" si="5"/>
        <v>Before</v>
      </c>
    </row>
    <row r="330" spans="1:16" x14ac:dyDescent="0.3">
      <c r="A330" t="s">
        <v>101</v>
      </c>
      <c r="B330" s="21" t="s">
        <v>29</v>
      </c>
      <c r="C330" s="5">
        <v>45704</v>
      </c>
      <c r="D330" s="21" t="s">
        <v>27</v>
      </c>
      <c r="E330" s="21" t="s">
        <v>13</v>
      </c>
      <c r="F330" s="22">
        <v>24195</v>
      </c>
      <c r="G330" s="22">
        <v>888</v>
      </c>
      <c r="H330" s="22">
        <v>165</v>
      </c>
      <c r="I330" s="22">
        <v>1559</v>
      </c>
      <c r="J330" s="22">
        <v>11596</v>
      </c>
      <c r="K330" s="22">
        <v>249988</v>
      </c>
      <c r="L330" s="21" t="s">
        <v>60</v>
      </c>
      <c r="M330" s="4">
        <v>0.10099684784869674</v>
      </c>
      <c r="N330" s="5">
        <f>_xlfn.XLOOKUP(L330,'Campaign Metadata'!$A$2:$A$6,'Campaign Metadata'!$B$2:$B$6)</f>
        <v>45717</v>
      </c>
      <c r="O330" s="5">
        <f>_xlfn.XLOOKUP(L330,'Campaign Metadata'!$A$2:$A$6,'Campaign Metadata'!$C$2:$C$6)</f>
        <v>45747</v>
      </c>
      <c r="P330" t="str">
        <f t="shared" si="5"/>
        <v>Before</v>
      </c>
    </row>
    <row r="331" spans="1:16" x14ac:dyDescent="0.3">
      <c r="A331" t="s">
        <v>207</v>
      </c>
      <c r="B331" s="21" t="s">
        <v>29</v>
      </c>
      <c r="C331" s="5">
        <v>45705</v>
      </c>
      <c r="D331" s="21" t="s">
        <v>27</v>
      </c>
      <c r="E331" s="21" t="s">
        <v>16</v>
      </c>
      <c r="F331" s="22">
        <v>7989</v>
      </c>
      <c r="G331" s="22">
        <v>1206</v>
      </c>
      <c r="H331" s="22">
        <v>376</v>
      </c>
      <c r="I331" s="22">
        <v>2769</v>
      </c>
      <c r="J331" s="22">
        <v>27550</v>
      </c>
      <c r="K331" s="22">
        <v>221749</v>
      </c>
      <c r="L331" s="21" t="s">
        <v>60</v>
      </c>
      <c r="M331" s="4">
        <v>4.3161412227338117E-2</v>
      </c>
      <c r="N331" s="5">
        <f>_xlfn.XLOOKUP(L331,'Campaign Metadata'!$A$2:$A$6,'Campaign Metadata'!$B$2:$B$6)</f>
        <v>45717</v>
      </c>
      <c r="O331" s="5">
        <f>_xlfn.XLOOKUP(L331,'Campaign Metadata'!$A$2:$A$6,'Campaign Metadata'!$C$2:$C$6)</f>
        <v>45747</v>
      </c>
      <c r="P331" t="str">
        <f t="shared" si="5"/>
        <v>Before</v>
      </c>
    </row>
    <row r="332" spans="1:16" x14ac:dyDescent="0.3">
      <c r="A332" t="s">
        <v>207</v>
      </c>
      <c r="B332" s="21" t="s">
        <v>29</v>
      </c>
      <c r="C332" s="5">
        <v>45705</v>
      </c>
      <c r="D332" s="21" t="s">
        <v>27</v>
      </c>
      <c r="E332" s="21" t="s">
        <v>4</v>
      </c>
      <c r="F332" s="22">
        <v>7989</v>
      </c>
      <c r="G332" s="22">
        <v>1206</v>
      </c>
      <c r="H332" s="22">
        <v>376</v>
      </c>
      <c r="I332" s="22">
        <v>2769</v>
      </c>
      <c r="J332" s="22">
        <v>27550</v>
      </c>
      <c r="K332" s="22">
        <v>221749</v>
      </c>
      <c r="L332" s="21" t="s">
        <v>60</v>
      </c>
      <c r="M332" s="4">
        <v>4.3161412227338117E-2</v>
      </c>
      <c r="N332" s="5">
        <f>_xlfn.XLOOKUP(L332,'Campaign Metadata'!$A$2:$A$6,'Campaign Metadata'!$B$2:$B$6)</f>
        <v>45717</v>
      </c>
      <c r="O332" s="5">
        <f>_xlfn.XLOOKUP(L332,'Campaign Metadata'!$A$2:$A$6,'Campaign Metadata'!$C$2:$C$6)</f>
        <v>45747</v>
      </c>
      <c r="P332" t="str">
        <f t="shared" si="5"/>
        <v>Before</v>
      </c>
    </row>
    <row r="333" spans="1:16" x14ac:dyDescent="0.3">
      <c r="A333" t="s">
        <v>122</v>
      </c>
      <c r="B333" s="21" t="s">
        <v>29</v>
      </c>
      <c r="C333" s="5">
        <v>45707</v>
      </c>
      <c r="D333" s="21" t="s">
        <v>28</v>
      </c>
      <c r="E333" s="21" t="s">
        <v>3</v>
      </c>
      <c r="F333" s="22">
        <v>8168</v>
      </c>
      <c r="G333" s="22">
        <v>512</v>
      </c>
      <c r="H333" s="22">
        <v>442</v>
      </c>
      <c r="I333" s="22">
        <v>2343</v>
      </c>
      <c r="J333" s="22">
        <v>2753</v>
      </c>
      <c r="K333" s="22">
        <v>143896</v>
      </c>
      <c r="L333" s="21" t="s">
        <v>65</v>
      </c>
      <c r="M333" s="4">
        <v>6.3393006059932172E-2</v>
      </c>
      <c r="N333" s="5">
        <f>_xlfn.XLOOKUP(L333,'Campaign Metadata'!$A$2:$A$6,'Campaign Metadata'!$B$2:$B$6)</f>
        <v>45566</v>
      </c>
      <c r="O333" s="5">
        <f>_xlfn.XLOOKUP(L333,'Campaign Metadata'!$A$2:$A$6,'Campaign Metadata'!$C$2:$C$6)</f>
        <v>45596</v>
      </c>
      <c r="P333" t="str">
        <f t="shared" si="5"/>
        <v>After</v>
      </c>
    </row>
    <row r="334" spans="1:16" x14ac:dyDescent="0.3">
      <c r="A334" t="s">
        <v>122</v>
      </c>
      <c r="B334" s="21" t="s">
        <v>29</v>
      </c>
      <c r="C334" s="5">
        <v>45707</v>
      </c>
      <c r="D334" s="21" t="s">
        <v>28</v>
      </c>
      <c r="E334" s="21" t="s">
        <v>14</v>
      </c>
      <c r="F334" s="22">
        <v>8168</v>
      </c>
      <c r="G334" s="22">
        <v>512</v>
      </c>
      <c r="H334" s="22">
        <v>442</v>
      </c>
      <c r="I334" s="22">
        <v>2343</v>
      </c>
      <c r="J334" s="22">
        <v>2753</v>
      </c>
      <c r="K334" s="22">
        <v>143896</v>
      </c>
      <c r="L334" s="21" t="s">
        <v>65</v>
      </c>
      <c r="M334" s="4">
        <v>6.3393006059932172E-2</v>
      </c>
      <c r="N334" s="5">
        <f>_xlfn.XLOOKUP(L334,'Campaign Metadata'!$A$2:$A$6,'Campaign Metadata'!$B$2:$B$6)</f>
        <v>45566</v>
      </c>
      <c r="O334" s="5">
        <f>_xlfn.XLOOKUP(L334,'Campaign Metadata'!$A$2:$A$6,'Campaign Metadata'!$C$2:$C$6)</f>
        <v>45596</v>
      </c>
      <c r="P334" t="str">
        <f t="shared" si="5"/>
        <v>After</v>
      </c>
    </row>
    <row r="335" spans="1:16" x14ac:dyDescent="0.3">
      <c r="A335" t="s">
        <v>84</v>
      </c>
      <c r="B335" s="21" t="s">
        <v>32</v>
      </c>
      <c r="C335" s="5">
        <v>45708</v>
      </c>
      <c r="D335" s="21" t="s">
        <v>25</v>
      </c>
      <c r="E335" s="21" t="s">
        <v>3</v>
      </c>
      <c r="F335" s="22">
        <v>15703</v>
      </c>
      <c r="G335" s="22">
        <v>1381</v>
      </c>
      <c r="H335" s="22">
        <v>639</v>
      </c>
      <c r="I335" s="22">
        <v>984</v>
      </c>
      <c r="J335" s="22">
        <v>10967</v>
      </c>
      <c r="K335" s="22">
        <v>133747</v>
      </c>
      <c r="L335" s="21" t="s">
        <v>65</v>
      </c>
      <c r="M335" s="4">
        <v>0.13251138343289942</v>
      </c>
      <c r="N335" s="5">
        <f>_xlfn.XLOOKUP(L335,'Campaign Metadata'!$A$2:$A$6,'Campaign Metadata'!$B$2:$B$6)</f>
        <v>45566</v>
      </c>
      <c r="O335" s="5">
        <f>_xlfn.XLOOKUP(L335,'Campaign Metadata'!$A$2:$A$6,'Campaign Metadata'!$C$2:$C$6)</f>
        <v>45596</v>
      </c>
      <c r="P335" t="str">
        <f t="shared" si="5"/>
        <v>After</v>
      </c>
    </row>
    <row r="336" spans="1:16" x14ac:dyDescent="0.3">
      <c r="A336" t="s">
        <v>84</v>
      </c>
      <c r="B336" s="21" t="s">
        <v>32</v>
      </c>
      <c r="C336" s="5">
        <v>45708</v>
      </c>
      <c r="D336" s="21" t="s">
        <v>25</v>
      </c>
      <c r="E336" s="21" t="s">
        <v>14</v>
      </c>
      <c r="F336" s="22">
        <v>15703</v>
      </c>
      <c r="G336" s="22">
        <v>1381</v>
      </c>
      <c r="H336" s="22">
        <v>639</v>
      </c>
      <c r="I336" s="22">
        <v>984</v>
      </c>
      <c r="J336" s="22">
        <v>10967</v>
      </c>
      <c r="K336" s="22">
        <v>133747</v>
      </c>
      <c r="L336" s="21" t="s">
        <v>65</v>
      </c>
      <c r="M336" s="4">
        <v>0.13251138343289942</v>
      </c>
      <c r="N336" s="5">
        <f>_xlfn.XLOOKUP(L336,'Campaign Metadata'!$A$2:$A$6,'Campaign Metadata'!$B$2:$B$6)</f>
        <v>45566</v>
      </c>
      <c r="O336" s="5">
        <f>_xlfn.XLOOKUP(L336,'Campaign Metadata'!$A$2:$A$6,'Campaign Metadata'!$C$2:$C$6)</f>
        <v>45596</v>
      </c>
      <c r="P336" t="str">
        <f t="shared" si="5"/>
        <v>After</v>
      </c>
    </row>
    <row r="337" spans="1:16" x14ac:dyDescent="0.3">
      <c r="A337" t="s">
        <v>73</v>
      </c>
      <c r="B337" s="21" t="s">
        <v>30</v>
      </c>
      <c r="C337" s="5">
        <v>45712</v>
      </c>
      <c r="D337" s="21" t="s">
        <v>27</v>
      </c>
      <c r="E337" s="21" t="s">
        <v>3</v>
      </c>
      <c r="F337" s="22">
        <v>24984</v>
      </c>
      <c r="G337" s="22">
        <v>753</v>
      </c>
      <c r="H337" s="22">
        <v>461</v>
      </c>
      <c r="I337" s="22">
        <v>2710</v>
      </c>
      <c r="J337" s="22">
        <v>20792</v>
      </c>
      <c r="K337" s="22">
        <v>141520</v>
      </c>
      <c r="L337" s="21" t="s">
        <v>60</v>
      </c>
      <c r="M337" s="4">
        <v>0.18511871113623515</v>
      </c>
      <c r="N337" s="5">
        <f>_xlfn.XLOOKUP(L337,'Campaign Metadata'!$A$2:$A$6,'Campaign Metadata'!$B$2:$B$6)</f>
        <v>45717</v>
      </c>
      <c r="O337" s="5">
        <f>_xlfn.XLOOKUP(L337,'Campaign Metadata'!$A$2:$A$6,'Campaign Metadata'!$C$2:$C$6)</f>
        <v>45747</v>
      </c>
      <c r="P337" t="str">
        <f t="shared" si="5"/>
        <v>Before</v>
      </c>
    </row>
    <row r="338" spans="1:16" x14ac:dyDescent="0.3">
      <c r="A338" t="s">
        <v>73</v>
      </c>
      <c r="B338" s="21" t="s">
        <v>30</v>
      </c>
      <c r="C338" s="5">
        <v>45712</v>
      </c>
      <c r="D338" s="21" t="s">
        <v>27</v>
      </c>
      <c r="E338" s="21" t="s">
        <v>14</v>
      </c>
      <c r="F338" s="22">
        <v>24984</v>
      </c>
      <c r="G338" s="22">
        <v>753</v>
      </c>
      <c r="H338" s="22">
        <v>461</v>
      </c>
      <c r="I338" s="22">
        <v>2710</v>
      </c>
      <c r="J338" s="22">
        <v>20792</v>
      </c>
      <c r="K338" s="22">
        <v>141520</v>
      </c>
      <c r="L338" s="21" t="s">
        <v>60</v>
      </c>
      <c r="M338" s="4">
        <v>0.18511871113623515</v>
      </c>
      <c r="N338" s="5">
        <f>_xlfn.XLOOKUP(L338,'Campaign Metadata'!$A$2:$A$6,'Campaign Metadata'!$B$2:$B$6)</f>
        <v>45717</v>
      </c>
      <c r="O338" s="5">
        <f>_xlfn.XLOOKUP(L338,'Campaign Metadata'!$A$2:$A$6,'Campaign Metadata'!$C$2:$C$6)</f>
        <v>45747</v>
      </c>
      <c r="P338" t="str">
        <f t="shared" si="5"/>
        <v>Before</v>
      </c>
    </row>
    <row r="339" spans="1:16" x14ac:dyDescent="0.3">
      <c r="A339" t="s">
        <v>85</v>
      </c>
      <c r="B339" s="21" t="s">
        <v>32</v>
      </c>
      <c r="C339" s="5">
        <v>45712</v>
      </c>
      <c r="D339" s="21" t="s">
        <v>26</v>
      </c>
      <c r="E339" s="21" t="s">
        <v>3</v>
      </c>
      <c r="F339" s="22">
        <v>23949</v>
      </c>
      <c r="G339" s="22">
        <v>356</v>
      </c>
      <c r="H339" s="22">
        <v>616</v>
      </c>
      <c r="I339" s="22">
        <v>1847</v>
      </c>
      <c r="J339" s="22">
        <v>3144</v>
      </c>
      <c r="K339" s="22">
        <v>192999</v>
      </c>
      <c r="L339" s="21" t="s">
        <v>63</v>
      </c>
      <c r="M339" s="4">
        <v>0.12912502137316773</v>
      </c>
      <c r="N339" s="5">
        <f>_xlfn.XLOOKUP(L339,'Campaign Metadata'!$A$2:$A$6,'Campaign Metadata'!$B$2:$B$6)</f>
        <v>45458</v>
      </c>
      <c r="O339" s="5">
        <f>_xlfn.XLOOKUP(L339,'Campaign Metadata'!$A$2:$A$6,'Campaign Metadata'!$C$2:$C$6)</f>
        <v>45488</v>
      </c>
      <c r="P339" t="str">
        <f t="shared" si="5"/>
        <v>After</v>
      </c>
    </row>
    <row r="340" spans="1:16" x14ac:dyDescent="0.3">
      <c r="A340" t="s">
        <v>85</v>
      </c>
      <c r="B340" s="21" t="s">
        <v>32</v>
      </c>
      <c r="C340" s="5">
        <v>45712</v>
      </c>
      <c r="D340" s="21" t="s">
        <v>26</v>
      </c>
      <c r="E340" s="21" t="s">
        <v>13</v>
      </c>
      <c r="F340" s="22">
        <v>23949</v>
      </c>
      <c r="G340" s="22">
        <v>356</v>
      </c>
      <c r="H340" s="22">
        <v>616</v>
      </c>
      <c r="I340" s="22">
        <v>1847</v>
      </c>
      <c r="J340" s="22">
        <v>3144</v>
      </c>
      <c r="K340" s="22">
        <v>192999</v>
      </c>
      <c r="L340" s="21" t="s">
        <v>63</v>
      </c>
      <c r="M340" s="4">
        <v>0.12912502137316773</v>
      </c>
      <c r="N340" s="5">
        <f>_xlfn.XLOOKUP(L340,'Campaign Metadata'!$A$2:$A$6,'Campaign Metadata'!$B$2:$B$6)</f>
        <v>45458</v>
      </c>
      <c r="O340" s="5">
        <f>_xlfn.XLOOKUP(L340,'Campaign Metadata'!$A$2:$A$6,'Campaign Metadata'!$C$2:$C$6)</f>
        <v>45488</v>
      </c>
      <c r="P340" t="str">
        <f t="shared" si="5"/>
        <v>After</v>
      </c>
    </row>
    <row r="341" spans="1:16" x14ac:dyDescent="0.3">
      <c r="A341" t="s">
        <v>289</v>
      </c>
      <c r="B341" s="21" t="s">
        <v>30</v>
      </c>
      <c r="C341" s="5">
        <v>45713</v>
      </c>
      <c r="D341" s="21" t="s">
        <v>25</v>
      </c>
      <c r="E341" s="21" t="s">
        <v>15</v>
      </c>
      <c r="F341" s="22">
        <v>10702</v>
      </c>
      <c r="G341" s="22">
        <v>621</v>
      </c>
      <c r="H341" s="22">
        <v>445</v>
      </c>
      <c r="I341" s="22">
        <v>2918</v>
      </c>
      <c r="J341" s="22">
        <v>54808</v>
      </c>
      <c r="K341" s="22">
        <v>220225</v>
      </c>
      <c r="L341" s="21" t="s">
        <v>59</v>
      </c>
      <c r="M341" s="4">
        <v>5.3436258372119426E-2</v>
      </c>
      <c r="N341" s="5">
        <f>_xlfn.XLOOKUP(L341,'Campaign Metadata'!$A$2:$A$6,'Campaign Metadata'!$B$2:$B$6)</f>
        <v>45651</v>
      </c>
      <c r="O341" s="5">
        <f>_xlfn.XLOOKUP(L341,'Campaign Metadata'!$A$2:$A$6,'Campaign Metadata'!$C$2:$C$6)</f>
        <v>45667</v>
      </c>
      <c r="P341" t="str">
        <f t="shared" si="5"/>
        <v>After</v>
      </c>
    </row>
    <row r="342" spans="1:16" x14ac:dyDescent="0.3">
      <c r="A342" t="s">
        <v>289</v>
      </c>
      <c r="B342" s="21" t="s">
        <v>30</v>
      </c>
      <c r="C342" s="5">
        <v>45713</v>
      </c>
      <c r="D342" s="21" t="s">
        <v>25</v>
      </c>
      <c r="E342" s="21" t="s">
        <v>18</v>
      </c>
      <c r="F342" s="22">
        <v>10702</v>
      </c>
      <c r="G342" s="22">
        <v>621</v>
      </c>
      <c r="H342" s="22">
        <v>445</v>
      </c>
      <c r="I342" s="22">
        <v>2918</v>
      </c>
      <c r="J342" s="22">
        <v>54808</v>
      </c>
      <c r="K342" s="22">
        <v>220225</v>
      </c>
      <c r="L342" s="21" t="s">
        <v>59</v>
      </c>
      <c r="M342" s="4">
        <v>5.3436258372119426E-2</v>
      </c>
      <c r="N342" s="5">
        <f>_xlfn.XLOOKUP(L342,'Campaign Metadata'!$A$2:$A$6,'Campaign Metadata'!$B$2:$B$6)</f>
        <v>45651</v>
      </c>
      <c r="O342" s="5">
        <f>_xlfn.XLOOKUP(L342,'Campaign Metadata'!$A$2:$A$6,'Campaign Metadata'!$C$2:$C$6)</f>
        <v>45667</v>
      </c>
      <c r="P342" t="str">
        <f t="shared" si="5"/>
        <v>After</v>
      </c>
    </row>
    <row r="343" spans="1:16" x14ac:dyDescent="0.3">
      <c r="A343" t="s">
        <v>244</v>
      </c>
      <c r="B343" s="21" t="s">
        <v>29</v>
      </c>
      <c r="C343" s="5">
        <v>45715</v>
      </c>
      <c r="D343" s="21" t="s">
        <v>26</v>
      </c>
      <c r="E343" s="21" t="s">
        <v>5</v>
      </c>
      <c r="F343" s="22">
        <v>8970</v>
      </c>
      <c r="G343" s="22">
        <v>331</v>
      </c>
      <c r="H343" s="22">
        <v>968</v>
      </c>
      <c r="I343" s="22">
        <v>2296</v>
      </c>
      <c r="J343" s="22">
        <v>24613</v>
      </c>
      <c r="K343" s="22">
        <v>198562</v>
      </c>
      <c r="L343" s="21" t="s">
        <v>63</v>
      </c>
      <c r="M343" s="4">
        <v>5.1716844109144754E-2</v>
      </c>
      <c r="N343" s="5">
        <f>_xlfn.XLOOKUP(L343,'Campaign Metadata'!$A$2:$A$6,'Campaign Metadata'!$B$2:$B$6)</f>
        <v>45458</v>
      </c>
      <c r="O343" s="5">
        <f>_xlfn.XLOOKUP(L343,'Campaign Metadata'!$A$2:$A$6,'Campaign Metadata'!$C$2:$C$6)</f>
        <v>45488</v>
      </c>
      <c r="P343" t="str">
        <f t="shared" si="5"/>
        <v>After</v>
      </c>
    </row>
    <row r="344" spans="1:16" x14ac:dyDescent="0.3">
      <c r="A344" t="s">
        <v>244</v>
      </c>
      <c r="B344" s="21" t="s">
        <v>29</v>
      </c>
      <c r="C344" s="5">
        <v>45715</v>
      </c>
      <c r="D344" s="21" t="s">
        <v>26</v>
      </c>
      <c r="E344" s="21" t="s">
        <v>6</v>
      </c>
      <c r="F344" s="22">
        <v>8970</v>
      </c>
      <c r="G344" s="22">
        <v>331</v>
      </c>
      <c r="H344" s="22">
        <v>968</v>
      </c>
      <c r="I344" s="22">
        <v>2296</v>
      </c>
      <c r="J344" s="22">
        <v>24613</v>
      </c>
      <c r="K344" s="22">
        <v>198562</v>
      </c>
      <c r="L344" s="21" t="s">
        <v>63</v>
      </c>
      <c r="M344" s="4">
        <v>5.1716844109144754E-2</v>
      </c>
      <c r="N344" s="5">
        <f>_xlfn.XLOOKUP(L344,'Campaign Metadata'!$A$2:$A$6,'Campaign Metadata'!$B$2:$B$6)</f>
        <v>45458</v>
      </c>
      <c r="O344" s="5">
        <f>_xlfn.XLOOKUP(L344,'Campaign Metadata'!$A$2:$A$6,'Campaign Metadata'!$C$2:$C$6)</f>
        <v>45488</v>
      </c>
      <c r="P344" t="str">
        <f t="shared" si="5"/>
        <v>After</v>
      </c>
    </row>
    <row r="345" spans="1:16" x14ac:dyDescent="0.3">
      <c r="A345" t="s">
        <v>251</v>
      </c>
      <c r="B345" s="21" t="s">
        <v>30</v>
      </c>
      <c r="C345" s="5">
        <v>45715</v>
      </c>
      <c r="D345" s="21" t="s">
        <v>26</v>
      </c>
      <c r="E345" s="21" t="s">
        <v>16</v>
      </c>
      <c r="F345" s="22">
        <v>16178</v>
      </c>
      <c r="G345" s="22">
        <v>1048</v>
      </c>
      <c r="H345" s="22">
        <v>871</v>
      </c>
      <c r="I345" s="22">
        <v>2553</v>
      </c>
      <c r="J345" s="22">
        <v>39025</v>
      </c>
      <c r="K345" s="22">
        <v>59508</v>
      </c>
      <c r="L345" s="21" t="s">
        <v>59</v>
      </c>
      <c r="M345" s="4">
        <v>0.30411037171472743</v>
      </c>
      <c r="N345" s="5">
        <f>_xlfn.XLOOKUP(L345,'Campaign Metadata'!$A$2:$A$6,'Campaign Metadata'!$B$2:$B$6)</f>
        <v>45651</v>
      </c>
      <c r="O345" s="5">
        <f>_xlfn.XLOOKUP(L345,'Campaign Metadata'!$A$2:$A$6,'Campaign Metadata'!$C$2:$C$6)</f>
        <v>45667</v>
      </c>
      <c r="P345" t="str">
        <f t="shared" si="5"/>
        <v>After</v>
      </c>
    </row>
    <row r="346" spans="1:16" x14ac:dyDescent="0.3">
      <c r="A346" t="s">
        <v>251</v>
      </c>
      <c r="B346" s="21" t="s">
        <v>30</v>
      </c>
      <c r="C346" s="5">
        <v>45715</v>
      </c>
      <c r="D346" s="21" t="s">
        <v>26</v>
      </c>
      <c r="E346" s="21" t="s">
        <v>4</v>
      </c>
      <c r="F346" s="22">
        <v>16178</v>
      </c>
      <c r="G346" s="22">
        <v>1048</v>
      </c>
      <c r="H346" s="22">
        <v>871</v>
      </c>
      <c r="I346" s="22">
        <v>2553</v>
      </c>
      <c r="J346" s="22">
        <v>39025</v>
      </c>
      <c r="K346" s="22">
        <v>59508</v>
      </c>
      <c r="L346" s="21" t="s">
        <v>59</v>
      </c>
      <c r="M346" s="4">
        <v>0.30411037171472743</v>
      </c>
      <c r="N346" s="5">
        <f>_xlfn.XLOOKUP(L346,'Campaign Metadata'!$A$2:$A$6,'Campaign Metadata'!$B$2:$B$6)</f>
        <v>45651</v>
      </c>
      <c r="O346" s="5">
        <f>_xlfn.XLOOKUP(L346,'Campaign Metadata'!$A$2:$A$6,'Campaign Metadata'!$C$2:$C$6)</f>
        <v>45667</v>
      </c>
      <c r="P346" t="str">
        <f t="shared" si="5"/>
        <v>After</v>
      </c>
    </row>
    <row r="347" spans="1:16" x14ac:dyDescent="0.3">
      <c r="A347" t="s">
        <v>214</v>
      </c>
      <c r="B347" s="21" t="s">
        <v>30</v>
      </c>
      <c r="C347" s="5">
        <v>45718</v>
      </c>
      <c r="D347" s="21" t="s">
        <v>28</v>
      </c>
      <c r="E347" s="21" t="s">
        <v>15</v>
      </c>
      <c r="F347" s="22">
        <v>22562</v>
      </c>
      <c r="G347" s="22">
        <v>778</v>
      </c>
      <c r="H347" s="22">
        <v>907</v>
      </c>
      <c r="I347" s="22">
        <v>1354</v>
      </c>
      <c r="J347" s="22">
        <v>34475</v>
      </c>
      <c r="K347" s="22">
        <v>141459</v>
      </c>
      <c r="L347" s="21" t="s">
        <v>63</v>
      </c>
      <c r="M347" s="4">
        <v>0.17140655596321194</v>
      </c>
      <c r="N347" s="5">
        <f>_xlfn.XLOOKUP(L347,'Campaign Metadata'!$A$2:$A$6,'Campaign Metadata'!$B$2:$B$6)</f>
        <v>45458</v>
      </c>
      <c r="O347" s="5">
        <f>_xlfn.XLOOKUP(L347,'Campaign Metadata'!$A$2:$A$6,'Campaign Metadata'!$C$2:$C$6)</f>
        <v>45488</v>
      </c>
      <c r="P347" t="str">
        <f t="shared" si="5"/>
        <v>After</v>
      </c>
    </row>
    <row r="348" spans="1:16" x14ac:dyDescent="0.3">
      <c r="A348" t="s">
        <v>214</v>
      </c>
      <c r="B348" s="21" t="s">
        <v>30</v>
      </c>
      <c r="C348" s="5">
        <v>45718</v>
      </c>
      <c r="D348" s="21" t="s">
        <v>28</v>
      </c>
      <c r="E348" s="21" t="s">
        <v>18</v>
      </c>
      <c r="F348" s="22">
        <v>22562</v>
      </c>
      <c r="G348" s="22">
        <v>778</v>
      </c>
      <c r="H348" s="22">
        <v>907</v>
      </c>
      <c r="I348" s="22">
        <v>1354</v>
      </c>
      <c r="J348" s="22">
        <v>34475</v>
      </c>
      <c r="K348" s="22">
        <v>141459</v>
      </c>
      <c r="L348" s="21" t="s">
        <v>63</v>
      </c>
      <c r="M348" s="4">
        <v>0.17140655596321194</v>
      </c>
      <c r="N348" s="5">
        <f>_xlfn.XLOOKUP(L348,'Campaign Metadata'!$A$2:$A$6,'Campaign Metadata'!$B$2:$B$6)</f>
        <v>45458</v>
      </c>
      <c r="O348" s="5">
        <f>_xlfn.XLOOKUP(L348,'Campaign Metadata'!$A$2:$A$6,'Campaign Metadata'!$C$2:$C$6)</f>
        <v>45488</v>
      </c>
      <c r="P348" t="str">
        <f t="shared" si="5"/>
        <v>After</v>
      </c>
    </row>
    <row r="349" spans="1:16" x14ac:dyDescent="0.3">
      <c r="A349" t="s">
        <v>83</v>
      </c>
      <c r="B349" s="21" t="s">
        <v>31</v>
      </c>
      <c r="C349" s="5">
        <v>45719</v>
      </c>
      <c r="D349" s="21" t="s">
        <v>25</v>
      </c>
      <c r="E349" s="21" t="s">
        <v>3</v>
      </c>
      <c r="F349" s="22">
        <v>24928</v>
      </c>
      <c r="G349" s="22">
        <v>214</v>
      </c>
      <c r="H349" s="22">
        <v>765</v>
      </c>
      <c r="I349" s="22">
        <v>1556</v>
      </c>
      <c r="J349" s="22">
        <v>5239</v>
      </c>
      <c r="K349" s="22">
        <v>194571</v>
      </c>
      <c r="L349" s="21" t="s">
        <v>65</v>
      </c>
      <c r="M349" s="4">
        <v>0.13314933880177415</v>
      </c>
      <c r="N349" s="5">
        <f>_xlfn.XLOOKUP(L349,'Campaign Metadata'!$A$2:$A$6,'Campaign Metadata'!$B$2:$B$6)</f>
        <v>45566</v>
      </c>
      <c r="O349" s="5">
        <f>_xlfn.XLOOKUP(L349,'Campaign Metadata'!$A$2:$A$6,'Campaign Metadata'!$C$2:$C$6)</f>
        <v>45596</v>
      </c>
      <c r="P349" t="str">
        <f t="shared" si="5"/>
        <v>After</v>
      </c>
    </row>
    <row r="350" spans="1:16" x14ac:dyDescent="0.3">
      <c r="A350" t="s">
        <v>83</v>
      </c>
      <c r="B350" s="21" t="s">
        <v>31</v>
      </c>
      <c r="C350" s="5">
        <v>45719</v>
      </c>
      <c r="D350" s="21" t="s">
        <v>25</v>
      </c>
      <c r="E350" s="21" t="s">
        <v>13</v>
      </c>
      <c r="F350" s="22">
        <v>24928</v>
      </c>
      <c r="G350" s="22">
        <v>214</v>
      </c>
      <c r="H350" s="22">
        <v>765</v>
      </c>
      <c r="I350" s="22">
        <v>1556</v>
      </c>
      <c r="J350" s="22">
        <v>5239</v>
      </c>
      <c r="K350" s="22">
        <v>194571</v>
      </c>
      <c r="L350" s="21" t="s">
        <v>65</v>
      </c>
      <c r="M350" s="4">
        <v>0.13314933880177415</v>
      </c>
      <c r="N350" s="5">
        <f>_xlfn.XLOOKUP(L350,'Campaign Metadata'!$A$2:$A$6,'Campaign Metadata'!$B$2:$B$6)</f>
        <v>45566</v>
      </c>
      <c r="O350" s="5">
        <f>_xlfn.XLOOKUP(L350,'Campaign Metadata'!$A$2:$A$6,'Campaign Metadata'!$C$2:$C$6)</f>
        <v>45596</v>
      </c>
      <c r="P350" t="str">
        <f t="shared" si="5"/>
        <v>After</v>
      </c>
    </row>
    <row r="351" spans="1:16" x14ac:dyDescent="0.3">
      <c r="A351" t="s">
        <v>279</v>
      </c>
      <c r="B351" s="21" t="s">
        <v>32</v>
      </c>
      <c r="C351" s="5">
        <v>45719</v>
      </c>
      <c r="D351" s="21" t="s">
        <v>28</v>
      </c>
      <c r="E351" s="21" t="s">
        <v>10</v>
      </c>
      <c r="F351" s="22">
        <v>9561</v>
      </c>
      <c r="G351" s="22">
        <v>642</v>
      </c>
      <c r="H351" s="22">
        <v>581</v>
      </c>
      <c r="I351" s="22">
        <v>2572</v>
      </c>
      <c r="J351" s="22">
        <v>38552</v>
      </c>
      <c r="K351" s="22">
        <v>133680</v>
      </c>
      <c r="L351" s="21" t="s">
        <v>59</v>
      </c>
      <c r="M351" s="4">
        <v>8.0670257330939563E-2</v>
      </c>
      <c r="N351" s="5">
        <f>_xlfn.XLOOKUP(L351,'Campaign Metadata'!$A$2:$A$6,'Campaign Metadata'!$B$2:$B$6)</f>
        <v>45651</v>
      </c>
      <c r="O351" s="5">
        <f>_xlfn.XLOOKUP(L351,'Campaign Metadata'!$A$2:$A$6,'Campaign Metadata'!$C$2:$C$6)</f>
        <v>45667</v>
      </c>
      <c r="P351" t="str">
        <f t="shared" si="5"/>
        <v>After</v>
      </c>
    </row>
    <row r="352" spans="1:16" x14ac:dyDescent="0.3">
      <c r="A352" t="s">
        <v>279</v>
      </c>
      <c r="B352" s="21" t="s">
        <v>32</v>
      </c>
      <c r="C352" s="5">
        <v>45719</v>
      </c>
      <c r="D352" s="21" t="s">
        <v>28</v>
      </c>
      <c r="E352" s="21" t="s">
        <v>8</v>
      </c>
      <c r="F352" s="22">
        <v>9561</v>
      </c>
      <c r="G352" s="22">
        <v>642</v>
      </c>
      <c r="H352" s="22">
        <v>581</v>
      </c>
      <c r="I352" s="22">
        <v>2572</v>
      </c>
      <c r="J352" s="22">
        <v>38552</v>
      </c>
      <c r="K352" s="22">
        <v>133680</v>
      </c>
      <c r="L352" s="21" t="s">
        <v>59</v>
      </c>
      <c r="M352" s="4">
        <v>8.0670257330939563E-2</v>
      </c>
      <c r="N352" s="5">
        <f>_xlfn.XLOOKUP(L352,'Campaign Metadata'!$A$2:$A$6,'Campaign Metadata'!$B$2:$B$6)</f>
        <v>45651</v>
      </c>
      <c r="O352" s="5">
        <f>_xlfn.XLOOKUP(L352,'Campaign Metadata'!$A$2:$A$6,'Campaign Metadata'!$C$2:$C$6)</f>
        <v>45667</v>
      </c>
      <c r="P352" t="str">
        <f t="shared" si="5"/>
        <v>After</v>
      </c>
    </row>
    <row r="353" spans="1:16" x14ac:dyDescent="0.3">
      <c r="A353" t="s">
        <v>241</v>
      </c>
      <c r="B353" s="21" t="s">
        <v>31</v>
      </c>
      <c r="C353" s="5">
        <v>45720</v>
      </c>
      <c r="D353" s="21" t="s">
        <v>27</v>
      </c>
      <c r="E353" s="21" t="s">
        <v>18</v>
      </c>
      <c r="F353" s="22">
        <v>12344</v>
      </c>
      <c r="G353" s="22">
        <v>815</v>
      </c>
      <c r="H353" s="22">
        <v>298</v>
      </c>
      <c r="I353" s="22">
        <v>2439</v>
      </c>
      <c r="J353" s="22">
        <v>6259</v>
      </c>
      <c r="K353" s="22">
        <v>237133</v>
      </c>
      <c r="L353" s="21" t="s">
        <v>63</v>
      </c>
      <c r="M353" s="4">
        <v>5.6748744375519224E-2</v>
      </c>
      <c r="N353" s="5">
        <f>_xlfn.XLOOKUP(L353,'Campaign Metadata'!$A$2:$A$6,'Campaign Metadata'!$B$2:$B$6)</f>
        <v>45458</v>
      </c>
      <c r="O353" s="5">
        <f>_xlfn.XLOOKUP(L353,'Campaign Metadata'!$A$2:$A$6,'Campaign Metadata'!$C$2:$C$6)</f>
        <v>45488</v>
      </c>
      <c r="P353" t="str">
        <f t="shared" si="5"/>
        <v>After</v>
      </c>
    </row>
    <row r="354" spans="1:16" x14ac:dyDescent="0.3">
      <c r="A354" t="s">
        <v>79</v>
      </c>
      <c r="B354" s="21" t="s">
        <v>30</v>
      </c>
      <c r="C354" s="5">
        <v>45720</v>
      </c>
      <c r="D354" s="21" t="s">
        <v>25</v>
      </c>
      <c r="E354" s="21" t="s">
        <v>3</v>
      </c>
      <c r="F354" s="22">
        <v>13470</v>
      </c>
      <c r="G354" s="22">
        <v>523</v>
      </c>
      <c r="H354" s="22">
        <v>280</v>
      </c>
      <c r="I354" s="22">
        <v>2682</v>
      </c>
      <c r="J354" s="22">
        <v>8538</v>
      </c>
      <c r="K354" s="22">
        <v>95204</v>
      </c>
      <c r="L354" s="21" t="s">
        <v>59</v>
      </c>
      <c r="M354" s="4">
        <v>0.14992017142136885</v>
      </c>
      <c r="N354" s="5">
        <f>_xlfn.XLOOKUP(L354,'Campaign Metadata'!$A$2:$A$6,'Campaign Metadata'!$B$2:$B$6)</f>
        <v>45651</v>
      </c>
      <c r="O354" s="5">
        <f>_xlfn.XLOOKUP(L354,'Campaign Metadata'!$A$2:$A$6,'Campaign Metadata'!$C$2:$C$6)</f>
        <v>45667</v>
      </c>
      <c r="P354" t="str">
        <f t="shared" si="5"/>
        <v>After</v>
      </c>
    </row>
    <row r="355" spans="1:16" x14ac:dyDescent="0.3">
      <c r="A355" t="s">
        <v>79</v>
      </c>
      <c r="B355" s="21" t="s">
        <v>30</v>
      </c>
      <c r="C355" s="5">
        <v>45720</v>
      </c>
      <c r="D355" s="21" t="s">
        <v>25</v>
      </c>
      <c r="E355" s="21" t="s">
        <v>14</v>
      </c>
      <c r="F355" s="22">
        <v>13470</v>
      </c>
      <c r="G355" s="22">
        <v>523</v>
      </c>
      <c r="H355" s="22">
        <v>280</v>
      </c>
      <c r="I355" s="22">
        <v>2682</v>
      </c>
      <c r="J355" s="22">
        <v>8538</v>
      </c>
      <c r="K355" s="22">
        <v>95204</v>
      </c>
      <c r="L355" s="21" t="s">
        <v>59</v>
      </c>
      <c r="M355" s="4">
        <v>0.14992017142136885</v>
      </c>
      <c r="N355" s="5">
        <f>_xlfn.XLOOKUP(L355,'Campaign Metadata'!$A$2:$A$6,'Campaign Metadata'!$B$2:$B$6)</f>
        <v>45651</v>
      </c>
      <c r="O355" s="5">
        <f>_xlfn.XLOOKUP(L355,'Campaign Metadata'!$A$2:$A$6,'Campaign Metadata'!$C$2:$C$6)</f>
        <v>45667</v>
      </c>
      <c r="P355" t="str">
        <f t="shared" si="5"/>
        <v>After</v>
      </c>
    </row>
    <row r="356" spans="1:16" x14ac:dyDescent="0.3">
      <c r="A356" t="s">
        <v>150</v>
      </c>
      <c r="B356" s="21" t="s">
        <v>29</v>
      </c>
      <c r="C356" s="5">
        <v>45720</v>
      </c>
      <c r="D356" s="21" t="s">
        <v>28</v>
      </c>
      <c r="E356" s="21" t="s">
        <v>4</v>
      </c>
      <c r="F356" s="22">
        <v>5266</v>
      </c>
      <c r="G356" s="22">
        <v>316</v>
      </c>
      <c r="H356" s="22">
        <v>837</v>
      </c>
      <c r="I356" s="22">
        <v>2276</v>
      </c>
      <c r="J356" s="22">
        <v>20967</v>
      </c>
      <c r="K356" s="22">
        <v>41969</v>
      </c>
      <c r="L356" s="21" t="s">
        <v>65</v>
      </c>
      <c r="M356" s="4">
        <v>0.1529462222116324</v>
      </c>
      <c r="N356" s="5">
        <f>_xlfn.XLOOKUP(L356,'Campaign Metadata'!$A$2:$A$6,'Campaign Metadata'!$B$2:$B$6)</f>
        <v>45566</v>
      </c>
      <c r="O356" s="5">
        <f>_xlfn.XLOOKUP(L356,'Campaign Metadata'!$A$2:$A$6,'Campaign Metadata'!$C$2:$C$6)</f>
        <v>45596</v>
      </c>
      <c r="P356" t="str">
        <f t="shared" si="5"/>
        <v>After</v>
      </c>
    </row>
    <row r="357" spans="1:16" x14ac:dyDescent="0.3">
      <c r="A357" t="s">
        <v>150</v>
      </c>
      <c r="B357" s="21" t="s">
        <v>29</v>
      </c>
      <c r="C357" s="5">
        <v>45720</v>
      </c>
      <c r="D357" s="21" t="s">
        <v>28</v>
      </c>
      <c r="E357" s="21" t="s">
        <v>16</v>
      </c>
      <c r="F357" s="22">
        <v>5266</v>
      </c>
      <c r="G357" s="22">
        <v>316</v>
      </c>
      <c r="H357" s="22">
        <v>837</v>
      </c>
      <c r="I357" s="22">
        <v>2276</v>
      </c>
      <c r="J357" s="22">
        <v>20967</v>
      </c>
      <c r="K357" s="22">
        <v>41969</v>
      </c>
      <c r="L357" s="21" t="s">
        <v>65</v>
      </c>
      <c r="M357" s="4">
        <v>0.1529462222116324</v>
      </c>
      <c r="N357" s="5">
        <f>_xlfn.XLOOKUP(L357,'Campaign Metadata'!$A$2:$A$6,'Campaign Metadata'!$B$2:$B$6)</f>
        <v>45566</v>
      </c>
      <c r="O357" s="5">
        <f>_xlfn.XLOOKUP(L357,'Campaign Metadata'!$A$2:$A$6,'Campaign Metadata'!$C$2:$C$6)</f>
        <v>45596</v>
      </c>
      <c r="P357" t="str">
        <f t="shared" si="5"/>
        <v>After</v>
      </c>
    </row>
    <row r="358" spans="1:16" x14ac:dyDescent="0.3">
      <c r="A358" t="s">
        <v>67</v>
      </c>
      <c r="B358" s="21" t="s">
        <v>32</v>
      </c>
      <c r="C358" s="5">
        <v>45721</v>
      </c>
      <c r="D358" s="21" t="s">
        <v>25</v>
      </c>
      <c r="E358" s="21" t="s">
        <v>3</v>
      </c>
      <c r="F358" s="22">
        <v>12916</v>
      </c>
      <c r="G358" s="22">
        <v>1262</v>
      </c>
      <c r="H358" s="22">
        <v>772</v>
      </c>
      <c r="I358" s="22">
        <v>856</v>
      </c>
      <c r="J358" s="22">
        <v>11496</v>
      </c>
      <c r="K358" s="22">
        <v>75046</v>
      </c>
      <c r="L358" s="21" t="s">
        <v>60</v>
      </c>
      <c r="M358" s="4">
        <v>0.19921115049436347</v>
      </c>
      <c r="N358" s="5">
        <f>_xlfn.XLOOKUP(L358,'Campaign Metadata'!$A$2:$A$6,'Campaign Metadata'!$B$2:$B$6)</f>
        <v>45717</v>
      </c>
      <c r="O358" s="5">
        <f>_xlfn.XLOOKUP(L358,'Campaign Metadata'!$A$2:$A$6,'Campaign Metadata'!$C$2:$C$6)</f>
        <v>45747</v>
      </c>
      <c r="P358" t="str">
        <f t="shared" si="5"/>
        <v>During</v>
      </c>
    </row>
    <row r="359" spans="1:16" x14ac:dyDescent="0.3">
      <c r="A359" t="s">
        <v>67</v>
      </c>
      <c r="B359" s="21" t="s">
        <v>32</v>
      </c>
      <c r="C359" s="5">
        <v>45721</v>
      </c>
      <c r="D359" s="21" t="s">
        <v>25</v>
      </c>
      <c r="E359" s="21" t="s">
        <v>13</v>
      </c>
      <c r="F359" s="22">
        <v>12916</v>
      </c>
      <c r="G359" s="22">
        <v>1262</v>
      </c>
      <c r="H359" s="22">
        <v>772</v>
      </c>
      <c r="I359" s="22">
        <v>856</v>
      </c>
      <c r="J359" s="22">
        <v>11496</v>
      </c>
      <c r="K359" s="22">
        <v>75046</v>
      </c>
      <c r="L359" s="21" t="s">
        <v>60</v>
      </c>
      <c r="M359" s="4">
        <v>0.19921115049436347</v>
      </c>
      <c r="N359" s="5">
        <f>_xlfn.XLOOKUP(L359,'Campaign Metadata'!$A$2:$A$6,'Campaign Metadata'!$B$2:$B$6)</f>
        <v>45717</v>
      </c>
      <c r="O359" s="5">
        <f>_xlfn.XLOOKUP(L359,'Campaign Metadata'!$A$2:$A$6,'Campaign Metadata'!$C$2:$C$6)</f>
        <v>45747</v>
      </c>
      <c r="P359" t="str">
        <f t="shared" si="5"/>
        <v>During</v>
      </c>
    </row>
    <row r="360" spans="1:16" x14ac:dyDescent="0.3">
      <c r="A360" t="s">
        <v>100</v>
      </c>
      <c r="B360" s="21" t="s">
        <v>30</v>
      </c>
      <c r="C360" s="5">
        <v>45722</v>
      </c>
      <c r="D360" s="21" t="s">
        <v>27</v>
      </c>
      <c r="E360" s="21" t="s">
        <v>3</v>
      </c>
      <c r="F360" s="22">
        <v>22119</v>
      </c>
      <c r="G360" s="22">
        <v>899</v>
      </c>
      <c r="H360" s="22">
        <v>642</v>
      </c>
      <c r="I360" s="22">
        <v>410</v>
      </c>
      <c r="J360" s="22">
        <v>49490</v>
      </c>
      <c r="K360" s="22">
        <v>229420</v>
      </c>
      <c r="L360" s="21" t="s">
        <v>63</v>
      </c>
      <c r="M360" s="4">
        <v>0.10312963124400662</v>
      </c>
      <c r="N360" s="5">
        <f>_xlfn.XLOOKUP(L360,'Campaign Metadata'!$A$2:$A$6,'Campaign Metadata'!$B$2:$B$6)</f>
        <v>45458</v>
      </c>
      <c r="O360" s="5">
        <f>_xlfn.XLOOKUP(L360,'Campaign Metadata'!$A$2:$A$6,'Campaign Metadata'!$C$2:$C$6)</f>
        <v>45488</v>
      </c>
      <c r="P360" t="str">
        <f t="shared" si="5"/>
        <v>After</v>
      </c>
    </row>
    <row r="361" spans="1:16" x14ac:dyDescent="0.3">
      <c r="A361" t="s">
        <v>100</v>
      </c>
      <c r="B361" s="21" t="s">
        <v>30</v>
      </c>
      <c r="C361" s="5">
        <v>45722</v>
      </c>
      <c r="D361" s="21" t="s">
        <v>27</v>
      </c>
      <c r="E361" s="21" t="s">
        <v>14</v>
      </c>
      <c r="F361" s="22">
        <v>22119</v>
      </c>
      <c r="G361" s="22">
        <v>899</v>
      </c>
      <c r="H361" s="22">
        <v>642</v>
      </c>
      <c r="I361" s="22">
        <v>410</v>
      </c>
      <c r="J361" s="22">
        <v>49490</v>
      </c>
      <c r="K361" s="22">
        <v>229420</v>
      </c>
      <c r="L361" s="21" t="s">
        <v>63</v>
      </c>
      <c r="M361" s="4">
        <v>0.10312963124400662</v>
      </c>
      <c r="N361" s="5">
        <f>_xlfn.XLOOKUP(L361,'Campaign Metadata'!$A$2:$A$6,'Campaign Metadata'!$B$2:$B$6)</f>
        <v>45458</v>
      </c>
      <c r="O361" s="5">
        <f>_xlfn.XLOOKUP(L361,'Campaign Metadata'!$A$2:$A$6,'Campaign Metadata'!$C$2:$C$6)</f>
        <v>45488</v>
      </c>
      <c r="P361" t="str">
        <f t="shared" si="5"/>
        <v>After</v>
      </c>
    </row>
    <row r="362" spans="1:16" x14ac:dyDescent="0.3">
      <c r="A362" t="s">
        <v>163</v>
      </c>
      <c r="B362" s="21" t="s">
        <v>30</v>
      </c>
      <c r="C362" s="5">
        <v>45724</v>
      </c>
      <c r="D362" s="21" t="s">
        <v>27</v>
      </c>
      <c r="E362" s="21" t="s">
        <v>9</v>
      </c>
      <c r="F362" s="22">
        <v>10580</v>
      </c>
      <c r="G362" s="22">
        <v>427</v>
      </c>
      <c r="H362" s="22">
        <v>790</v>
      </c>
      <c r="I362" s="22">
        <v>2814</v>
      </c>
      <c r="J362" s="22">
        <v>24916</v>
      </c>
      <c r="K362" s="22">
        <v>213312</v>
      </c>
      <c r="L362" s="21" t="s">
        <v>65</v>
      </c>
      <c r="M362" s="4">
        <v>5.530396789678968E-2</v>
      </c>
      <c r="N362" s="5">
        <f>_xlfn.XLOOKUP(L362,'Campaign Metadata'!$A$2:$A$6,'Campaign Metadata'!$B$2:$B$6)</f>
        <v>45566</v>
      </c>
      <c r="O362" s="5">
        <f>_xlfn.XLOOKUP(L362,'Campaign Metadata'!$A$2:$A$6,'Campaign Metadata'!$C$2:$C$6)</f>
        <v>45596</v>
      </c>
      <c r="P362" t="str">
        <f t="shared" si="5"/>
        <v>After</v>
      </c>
    </row>
    <row r="363" spans="1:16" x14ac:dyDescent="0.3">
      <c r="A363" t="s">
        <v>163</v>
      </c>
      <c r="B363" s="21" t="s">
        <v>30</v>
      </c>
      <c r="C363" s="5">
        <v>45724</v>
      </c>
      <c r="D363" s="21" t="s">
        <v>27</v>
      </c>
      <c r="E363" s="21" t="s">
        <v>7</v>
      </c>
      <c r="F363" s="22">
        <v>10580</v>
      </c>
      <c r="G363" s="22">
        <v>427</v>
      </c>
      <c r="H363" s="22">
        <v>790</v>
      </c>
      <c r="I363" s="22">
        <v>2814</v>
      </c>
      <c r="J363" s="22">
        <v>24916</v>
      </c>
      <c r="K363" s="22">
        <v>213312</v>
      </c>
      <c r="L363" s="21" t="s">
        <v>65</v>
      </c>
      <c r="M363" s="4">
        <v>5.530396789678968E-2</v>
      </c>
      <c r="N363" s="5">
        <f>_xlfn.XLOOKUP(L363,'Campaign Metadata'!$A$2:$A$6,'Campaign Metadata'!$B$2:$B$6)</f>
        <v>45566</v>
      </c>
      <c r="O363" s="5">
        <f>_xlfn.XLOOKUP(L363,'Campaign Metadata'!$A$2:$A$6,'Campaign Metadata'!$C$2:$C$6)</f>
        <v>45596</v>
      </c>
      <c r="P363" t="str">
        <f t="shared" si="5"/>
        <v>After</v>
      </c>
    </row>
    <row r="364" spans="1:16" x14ac:dyDescent="0.3">
      <c r="A364" t="s">
        <v>282</v>
      </c>
      <c r="B364" s="21" t="s">
        <v>30</v>
      </c>
      <c r="C364" s="5">
        <v>45724</v>
      </c>
      <c r="D364" s="21" t="s">
        <v>26</v>
      </c>
      <c r="E364" s="21" t="s">
        <v>8</v>
      </c>
      <c r="F364" s="22">
        <v>5812</v>
      </c>
      <c r="G364" s="22">
        <v>934</v>
      </c>
      <c r="H364" s="22">
        <v>302</v>
      </c>
      <c r="I364" s="22">
        <v>2356</v>
      </c>
      <c r="J364" s="22">
        <v>37437</v>
      </c>
      <c r="K364" s="22">
        <v>93551</v>
      </c>
      <c r="L364" s="21" t="s">
        <v>59</v>
      </c>
      <c r="M364" s="4">
        <v>7.5338585370546551E-2</v>
      </c>
      <c r="N364" s="5">
        <f>_xlfn.XLOOKUP(L364,'Campaign Metadata'!$A$2:$A$6,'Campaign Metadata'!$B$2:$B$6)</f>
        <v>45651</v>
      </c>
      <c r="O364" s="5">
        <f>_xlfn.XLOOKUP(L364,'Campaign Metadata'!$A$2:$A$6,'Campaign Metadata'!$C$2:$C$6)</f>
        <v>45667</v>
      </c>
      <c r="P364" t="str">
        <f t="shared" si="5"/>
        <v>After</v>
      </c>
    </row>
    <row r="365" spans="1:16" x14ac:dyDescent="0.3">
      <c r="A365" t="s">
        <v>282</v>
      </c>
      <c r="B365" s="21" t="s">
        <v>30</v>
      </c>
      <c r="C365" s="5">
        <v>45724</v>
      </c>
      <c r="D365" s="21" t="s">
        <v>26</v>
      </c>
      <c r="E365" s="21" t="s">
        <v>10</v>
      </c>
      <c r="F365" s="22">
        <v>5812</v>
      </c>
      <c r="G365" s="22">
        <v>934</v>
      </c>
      <c r="H365" s="22">
        <v>302</v>
      </c>
      <c r="I365" s="22">
        <v>2356</v>
      </c>
      <c r="J365" s="22">
        <v>37437</v>
      </c>
      <c r="K365" s="22">
        <v>93551</v>
      </c>
      <c r="L365" s="21" t="s">
        <v>59</v>
      </c>
      <c r="M365" s="4">
        <v>7.5338585370546551E-2</v>
      </c>
      <c r="N365" s="5">
        <f>_xlfn.XLOOKUP(L365,'Campaign Metadata'!$A$2:$A$6,'Campaign Metadata'!$B$2:$B$6)</f>
        <v>45651</v>
      </c>
      <c r="O365" s="5">
        <f>_xlfn.XLOOKUP(L365,'Campaign Metadata'!$A$2:$A$6,'Campaign Metadata'!$C$2:$C$6)</f>
        <v>45667</v>
      </c>
      <c r="P365" t="str">
        <f t="shared" si="5"/>
        <v>After</v>
      </c>
    </row>
    <row r="366" spans="1:16" x14ac:dyDescent="0.3">
      <c r="A366" t="s">
        <v>102</v>
      </c>
      <c r="B366" s="21" t="s">
        <v>31</v>
      </c>
      <c r="C366" s="5">
        <v>45727</v>
      </c>
      <c r="D366" s="21" t="s">
        <v>28</v>
      </c>
      <c r="E366" s="21" t="s">
        <v>3</v>
      </c>
      <c r="F366" s="22">
        <v>20222</v>
      </c>
      <c r="G366" s="22">
        <v>712</v>
      </c>
      <c r="H366" s="22">
        <v>604</v>
      </c>
      <c r="I366" s="22">
        <v>1272</v>
      </c>
      <c r="J366" s="22">
        <v>71598</v>
      </c>
      <c r="K366" s="22">
        <v>216422</v>
      </c>
      <c r="L366" s="21" t="s">
        <v>60</v>
      </c>
      <c r="M366" s="4">
        <v>9.9518533235992648E-2</v>
      </c>
      <c r="N366" s="5">
        <f>_xlfn.XLOOKUP(L366,'Campaign Metadata'!$A$2:$A$6,'Campaign Metadata'!$B$2:$B$6)</f>
        <v>45717</v>
      </c>
      <c r="O366" s="5">
        <f>_xlfn.XLOOKUP(L366,'Campaign Metadata'!$A$2:$A$6,'Campaign Metadata'!$C$2:$C$6)</f>
        <v>45747</v>
      </c>
      <c r="P366" t="str">
        <f t="shared" si="5"/>
        <v>During</v>
      </c>
    </row>
    <row r="367" spans="1:16" x14ac:dyDescent="0.3">
      <c r="A367" t="s">
        <v>102</v>
      </c>
      <c r="B367" s="21" t="s">
        <v>31</v>
      </c>
      <c r="C367" s="5">
        <v>45727</v>
      </c>
      <c r="D367" s="21" t="s">
        <v>28</v>
      </c>
      <c r="E367" s="21" t="s">
        <v>14</v>
      </c>
      <c r="F367" s="22">
        <v>20222</v>
      </c>
      <c r="G367" s="22">
        <v>712</v>
      </c>
      <c r="H367" s="22">
        <v>604</v>
      </c>
      <c r="I367" s="22">
        <v>1272</v>
      </c>
      <c r="J367" s="22">
        <v>71598</v>
      </c>
      <c r="K367" s="22">
        <v>216422</v>
      </c>
      <c r="L367" s="21" t="s">
        <v>60</v>
      </c>
      <c r="M367" s="4">
        <v>9.9518533235992648E-2</v>
      </c>
      <c r="N367" s="5">
        <f>_xlfn.XLOOKUP(L367,'Campaign Metadata'!$A$2:$A$6,'Campaign Metadata'!$B$2:$B$6)</f>
        <v>45717</v>
      </c>
      <c r="O367" s="5">
        <f>_xlfn.XLOOKUP(L367,'Campaign Metadata'!$A$2:$A$6,'Campaign Metadata'!$C$2:$C$6)</f>
        <v>45747</v>
      </c>
      <c r="P367" t="str">
        <f t="shared" si="5"/>
        <v>During</v>
      </c>
    </row>
    <row r="368" spans="1:16" x14ac:dyDescent="0.3">
      <c r="A368" t="s">
        <v>162</v>
      </c>
      <c r="B368" s="21" t="s">
        <v>32</v>
      </c>
      <c r="C368" s="5">
        <v>45727</v>
      </c>
      <c r="D368" s="21" t="s">
        <v>25</v>
      </c>
      <c r="E368" s="21" t="s">
        <v>8</v>
      </c>
      <c r="F368" s="22">
        <v>7997</v>
      </c>
      <c r="G368" s="22">
        <v>1238</v>
      </c>
      <c r="H368" s="22">
        <v>438</v>
      </c>
      <c r="I368" s="22">
        <v>1874</v>
      </c>
      <c r="J368" s="22">
        <v>36272</v>
      </c>
      <c r="K368" s="22">
        <v>165818</v>
      </c>
      <c r="L368" s="21" t="s">
        <v>65</v>
      </c>
      <c r="M368" s="4">
        <v>5.8335042034037318E-2</v>
      </c>
      <c r="N368" s="5">
        <f>_xlfn.XLOOKUP(L368,'Campaign Metadata'!$A$2:$A$6,'Campaign Metadata'!$B$2:$B$6)</f>
        <v>45566</v>
      </c>
      <c r="O368" s="5">
        <f>_xlfn.XLOOKUP(L368,'Campaign Metadata'!$A$2:$A$6,'Campaign Metadata'!$C$2:$C$6)</f>
        <v>45596</v>
      </c>
      <c r="P368" t="str">
        <f t="shared" si="5"/>
        <v>After</v>
      </c>
    </row>
    <row r="369" spans="1:16" x14ac:dyDescent="0.3">
      <c r="A369" t="s">
        <v>162</v>
      </c>
      <c r="B369" s="21" t="s">
        <v>32</v>
      </c>
      <c r="C369" s="5">
        <v>45727</v>
      </c>
      <c r="D369" s="21" t="s">
        <v>25</v>
      </c>
      <c r="E369" s="21" t="s">
        <v>10</v>
      </c>
      <c r="F369" s="22">
        <v>7997</v>
      </c>
      <c r="G369" s="22">
        <v>1238</v>
      </c>
      <c r="H369" s="22">
        <v>438</v>
      </c>
      <c r="I369" s="22">
        <v>1874</v>
      </c>
      <c r="J369" s="22">
        <v>36272</v>
      </c>
      <c r="K369" s="22">
        <v>165818</v>
      </c>
      <c r="L369" s="21" t="s">
        <v>65</v>
      </c>
      <c r="M369" s="4">
        <v>5.8335042034037318E-2</v>
      </c>
      <c r="N369" s="5">
        <f>_xlfn.XLOOKUP(L369,'Campaign Metadata'!$A$2:$A$6,'Campaign Metadata'!$B$2:$B$6)</f>
        <v>45566</v>
      </c>
      <c r="O369" s="5">
        <f>_xlfn.XLOOKUP(L369,'Campaign Metadata'!$A$2:$A$6,'Campaign Metadata'!$C$2:$C$6)</f>
        <v>45596</v>
      </c>
      <c r="P369" t="str">
        <f t="shared" si="5"/>
        <v>After</v>
      </c>
    </row>
    <row r="370" spans="1:16" x14ac:dyDescent="0.3">
      <c r="A370" t="s">
        <v>194</v>
      </c>
      <c r="B370" s="21" t="s">
        <v>30</v>
      </c>
      <c r="C370" s="5">
        <v>45729</v>
      </c>
      <c r="D370" s="21" t="s">
        <v>25</v>
      </c>
      <c r="E370" s="21" t="s">
        <v>1</v>
      </c>
      <c r="F370" s="22">
        <v>6544</v>
      </c>
      <c r="G370" s="22">
        <v>749</v>
      </c>
      <c r="H370" s="22">
        <v>888</v>
      </c>
      <c r="I370" s="22">
        <v>594</v>
      </c>
      <c r="J370" s="22">
        <v>18171</v>
      </c>
      <c r="K370" s="22">
        <v>126475</v>
      </c>
      <c r="L370" s="21" t="s">
        <v>60</v>
      </c>
      <c r="M370" s="4">
        <v>6.4684720300454635E-2</v>
      </c>
      <c r="N370" s="5">
        <f>_xlfn.XLOOKUP(L370,'Campaign Metadata'!$A$2:$A$6,'Campaign Metadata'!$B$2:$B$6)</f>
        <v>45717</v>
      </c>
      <c r="O370" s="5">
        <f>_xlfn.XLOOKUP(L370,'Campaign Metadata'!$A$2:$A$6,'Campaign Metadata'!$C$2:$C$6)</f>
        <v>45747</v>
      </c>
      <c r="P370" t="str">
        <f t="shared" si="5"/>
        <v>During</v>
      </c>
    </row>
    <row r="371" spans="1:16" x14ac:dyDescent="0.3">
      <c r="A371" t="s">
        <v>194</v>
      </c>
      <c r="B371" s="21" t="s">
        <v>30</v>
      </c>
      <c r="C371" s="5">
        <v>45729</v>
      </c>
      <c r="D371" s="21" t="s">
        <v>25</v>
      </c>
      <c r="E371" s="21" t="s">
        <v>11</v>
      </c>
      <c r="F371" s="22">
        <v>6544</v>
      </c>
      <c r="G371" s="22">
        <v>749</v>
      </c>
      <c r="H371" s="22">
        <v>888</v>
      </c>
      <c r="I371" s="22">
        <v>594</v>
      </c>
      <c r="J371" s="22">
        <v>18171</v>
      </c>
      <c r="K371" s="22">
        <v>126475</v>
      </c>
      <c r="L371" s="21" t="s">
        <v>60</v>
      </c>
      <c r="M371" s="4">
        <v>6.4684720300454635E-2</v>
      </c>
      <c r="N371" s="5">
        <f>_xlfn.XLOOKUP(L371,'Campaign Metadata'!$A$2:$A$6,'Campaign Metadata'!$B$2:$B$6)</f>
        <v>45717</v>
      </c>
      <c r="O371" s="5">
        <f>_xlfn.XLOOKUP(L371,'Campaign Metadata'!$A$2:$A$6,'Campaign Metadata'!$C$2:$C$6)</f>
        <v>45747</v>
      </c>
      <c r="P371" t="str">
        <f t="shared" si="5"/>
        <v>During</v>
      </c>
    </row>
    <row r="372" spans="1:16" x14ac:dyDescent="0.3">
      <c r="A372" t="s">
        <v>160</v>
      </c>
      <c r="B372" s="21" t="s">
        <v>30</v>
      </c>
      <c r="C372" s="5">
        <v>45734</v>
      </c>
      <c r="D372" s="21" t="s">
        <v>26</v>
      </c>
      <c r="E372" s="21" t="s">
        <v>7</v>
      </c>
      <c r="F372" s="22">
        <v>5818</v>
      </c>
      <c r="G372" s="22">
        <v>1252</v>
      </c>
      <c r="H372" s="22">
        <v>687</v>
      </c>
      <c r="I372" s="22">
        <v>2300</v>
      </c>
      <c r="J372" s="22">
        <v>25081</v>
      </c>
      <c r="K372" s="22">
        <v>101212</v>
      </c>
      <c r="L372" s="21" t="s">
        <v>65</v>
      </c>
      <c r="M372" s="4">
        <v>7.6641109749832043E-2</v>
      </c>
      <c r="N372" s="5">
        <f>_xlfn.XLOOKUP(L372,'Campaign Metadata'!$A$2:$A$6,'Campaign Metadata'!$B$2:$B$6)</f>
        <v>45566</v>
      </c>
      <c r="O372" s="5">
        <f>_xlfn.XLOOKUP(L372,'Campaign Metadata'!$A$2:$A$6,'Campaign Metadata'!$C$2:$C$6)</f>
        <v>45596</v>
      </c>
      <c r="P372" t="str">
        <f t="shared" si="5"/>
        <v>After</v>
      </c>
    </row>
    <row r="373" spans="1:16" x14ac:dyDescent="0.3">
      <c r="A373" t="s">
        <v>160</v>
      </c>
      <c r="B373" s="21" t="s">
        <v>30</v>
      </c>
      <c r="C373" s="5">
        <v>45734</v>
      </c>
      <c r="D373" s="21" t="s">
        <v>26</v>
      </c>
      <c r="E373" s="21" t="s">
        <v>9</v>
      </c>
      <c r="F373" s="22">
        <v>5818</v>
      </c>
      <c r="G373" s="22">
        <v>1252</v>
      </c>
      <c r="H373" s="22">
        <v>687</v>
      </c>
      <c r="I373" s="22">
        <v>2300</v>
      </c>
      <c r="J373" s="22">
        <v>25081</v>
      </c>
      <c r="K373" s="22">
        <v>101212</v>
      </c>
      <c r="L373" s="21" t="s">
        <v>65</v>
      </c>
      <c r="M373" s="4">
        <v>7.6641109749832043E-2</v>
      </c>
      <c r="N373" s="5">
        <f>_xlfn.XLOOKUP(L373,'Campaign Metadata'!$A$2:$A$6,'Campaign Metadata'!$B$2:$B$6)</f>
        <v>45566</v>
      </c>
      <c r="O373" s="5">
        <f>_xlfn.XLOOKUP(L373,'Campaign Metadata'!$A$2:$A$6,'Campaign Metadata'!$C$2:$C$6)</f>
        <v>45596</v>
      </c>
      <c r="P373" t="str">
        <f t="shared" si="5"/>
        <v>After</v>
      </c>
    </row>
    <row r="374" spans="1:16" x14ac:dyDescent="0.3">
      <c r="A374" t="s">
        <v>118</v>
      </c>
      <c r="B374" s="21" t="s">
        <v>31</v>
      </c>
      <c r="C374" s="5">
        <v>45735</v>
      </c>
      <c r="D374" s="21" t="s">
        <v>25</v>
      </c>
      <c r="E374" s="21" t="s">
        <v>3</v>
      </c>
      <c r="F374" s="22">
        <v>13475</v>
      </c>
      <c r="G374" s="22">
        <v>1032</v>
      </c>
      <c r="H374" s="22">
        <v>295</v>
      </c>
      <c r="I374" s="22">
        <v>541</v>
      </c>
      <c r="J374" s="22">
        <v>43666</v>
      </c>
      <c r="K374" s="22">
        <v>202396</v>
      </c>
      <c r="L374" s="21" t="s">
        <v>65</v>
      </c>
      <c r="M374" s="4">
        <v>7.3133856400324118E-2</v>
      </c>
      <c r="N374" s="5">
        <f>_xlfn.XLOOKUP(L374,'Campaign Metadata'!$A$2:$A$6,'Campaign Metadata'!$B$2:$B$6)</f>
        <v>45566</v>
      </c>
      <c r="O374" s="5">
        <f>_xlfn.XLOOKUP(L374,'Campaign Metadata'!$A$2:$A$6,'Campaign Metadata'!$C$2:$C$6)</f>
        <v>45596</v>
      </c>
      <c r="P374" t="str">
        <f t="shared" si="5"/>
        <v>After</v>
      </c>
    </row>
    <row r="375" spans="1:16" x14ac:dyDescent="0.3">
      <c r="A375" t="s">
        <v>118</v>
      </c>
      <c r="B375" s="21" t="s">
        <v>31</v>
      </c>
      <c r="C375" s="5">
        <v>45735</v>
      </c>
      <c r="D375" s="21" t="s">
        <v>25</v>
      </c>
      <c r="E375" s="21" t="s">
        <v>12</v>
      </c>
      <c r="F375" s="22">
        <v>13475</v>
      </c>
      <c r="G375" s="22">
        <v>1032</v>
      </c>
      <c r="H375" s="22">
        <v>295</v>
      </c>
      <c r="I375" s="22">
        <v>541</v>
      </c>
      <c r="J375" s="22">
        <v>43666</v>
      </c>
      <c r="K375" s="22">
        <v>202396</v>
      </c>
      <c r="L375" s="21" t="s">
        <v>65</v>
      </c>
      <c r="M375" s="4">
        <v>7.3133856400324118E-2</v>
      </c>
      <c r="N375" s="5">
        <f>_xlfn.XLOOKUP(L375,'Campaign Metadata'!$A$2:$A$6,'Campaign Metadata'!$B$2:$B$6)</f>
        <v>45566</v>
      </c>
      <c r="O375" s="5">
        <f>_xlfn.XLOOKUP(L375,'Campaign Metadata'!$A$2:$A$6,'Campaign Metadata'!$C$2:$C$6)</f>
        <v>45596</v>
      </c>
      <c r="P375" t="str">
        <f t="shared" si="5"/>
        <v>After</v>
      </c>
    </row>
    <row r="376" spans="1:16" x14ac:dyDescent="0.3">
      <c r="A376" t="s">
        <v>136</v>
      </c>
      <c r="B376" s="21" t="s">
        <v>30</v>
      </c>
      <c r="C376" s="5">
        <v>45738</v>
      </c>
      <c r="D376" s="21" t="s">
        <v>28</v>
      </c>
      <c r="E376" s="21" t="s">
        <v>3</v>
      </c>
      <c r="F376" s="22">
        <v>3917</v>
      </c>
      <c r="G376" s="22">
        <v>865</v>
      </c>
      <c r="H376" s="22">
        <v>759</v>
      </c>
      <c r="I376" s="22">
        <v>2282</v>
      </c>
      <c r="J376" s="22">
        <v>56125</v>
      </c>
      <c r="K376" s="22">
        <v>154014</v>
      </c>
      <c r="L376" s="21" t="s">
        <v>59</v>
      </c>
      <c r="M376" s="4">
        <v>3.5977248821535704E-2</v>
      </c>
      <c r="N376" s="5">
        <f>_xlfn.XLOOKUP(L376,'Campaign Metadata'!$A$2:$A$6,'Campaign Metadata'!$B$2:$B$6)</f>
        <v>45651</v>
      </c>
      <c r="O376" s="5">
        <f>_xlfn.XLOOKUP(L376,'Campaign Metadata'!$A$2:$A$6,'Campaign Metadata'!$C$2:$C$6)</f>
        <v>45667</v>
      </c>
      <c r="P376" t="str">
        <f t="shared" si="5"/>
        <v>After</v>
      </c>
    </row>
    <row r="377" spans="1:16" x14ac:dyDescent="0.3">
      <c r="A377" t="s">
        <v>136</v>
      </c>
      <c r="B377" s="21" t="s">
        <v>30</v>
      </c>
      <c r="C377" s="5">
        <v>45738</v>
      </c>
      <c r="D377" s="21" t="s">
        <v>28</v>
      </c>
      <c r="E377" s="21" t="s">
        <v>13</v>
      </c>
      <c r="F377" s="22">
        <v>3917</v>
      </c>
      <c r="G377" s="22">
        <v>865</v>
      </c>
      <c r="H377" s="22">
        <v>759</v>
      </c>
      <c r="I377" s="22">
        <v>2282</v>
      </c>
      <c r="J377" s="22">
        <v>56125</v>
      </c>
      <c r="K377" s="22">
        <v>154014</v>
      </c>
      <c r="L377" s="21" t="s">
        <v>59</v>
      </c>
      <c r="M377" s="4">
        <v>3.5977248821535704E-2</v>
      </c>
      <c r="N377" s="5">
        <f>_xlfn.XLOOKUP(L377,'Campaign Metadata'!$A$2:$A$6,'Campaign Metadata'!$B$2:$B$6)</f>
        <v>45651</v>
      </c>
      <c r="O377" s="5">
        <f>_xlfn.XLOOKUP(L377,'Campaign Metadata'!$A$2:$A$6,'Campaign Metadata'!$C$2:$C$6)</f>
        <v>45667</v>
      </c>
      <c r="P377" t="str">
        <f t="shared" si="5"/>
        <v>After</v>
      </c>
    </row>
    <row r="378" spans="1:16" x14ac:dyDescent="0.3">
      <c r="A378" t="s">
        <v>218</v>
      </c>
      <c r="B378" s="21" t="s">
        <v>30</v>
      </c>
      <c r="C378" s="5">
        <v>45739</v>
      </c>
      <c r="D378" s="21" t="s">
        <v>26</v>
      </c>
      <c r="E378" s="21" t="s">
        <v>11</v>
      </c>
      <c r="F378" s="22">
        <v>24711</v>
      </c>
      <c r="G378" s="22">
        <v>882</v>
      </c>
      <c r="H378" s="22">
        <v>876</v>
      </c>
      <c r="I378" s="22">
        <v>2728</v>
      </c>
      <c r="J378" s="22">
        <v>32015</v>
      </c>
      <c r="K378" s="22">
        <v>180272</v>
      </c>
      <c r="L378" s="21" t="s">
        <v>63</v>
      </c>
      <c r="M378" s="4">
        <v>0.1468281263867933</v>
      </c>
      <c r="N378" s="5">
        <f>_xlfn.XLOOKUP(L378,'Campaign Metadata'!$A$2:$A$6,'Campaign Metadata'!$B$2:$B$6)</f>
        <v>45458</v>
      </c>
      <c r="O378" s="5">
        <f>_xlfn.XLOOKUP(L378,'Campaign Metadata'!$A$2:$A$6,'Campaign Metadata'!$C$2:$C$6)</f>
        <v>45488</v>
      </c>
      <c r="P378" t="str">
        <f t="shared" si="5"/>
        <v>After</v>
      </c>
    </row>
    <row r="379" spans="1:16" x14ac:dyDescent="0.3">
      <c r="A379" t="s">
        <v>218</v>
      </c>
      <c r="B379" s="21" t="s">
        <v>30</v>
      </c>
      <c r="C379" s="5">
        <v>45739</v>
      </c>
      <c r="D379" s="21" t="s">
        <v>26</v>
      </c>
      <c r="E379" s="21" t="s">
        <v>1</v>
      </c>
      <c r="F379" s="22">
        <v>24711</v>
      </c>
      <c r="G379" s="22">
        <v>882</v>
      </c>
      <c r="H379" s="22">
        <v>876</v>
      </c>
      <c r="I379" s="22">
        <v>2728</v>
      </c>
      <c r="J379" s="22">
        <v>32015</v>
      </c>
      <c r="K379" s="22">
        <v>180272</v>
      </c>
      <c r="L379" s="21" t="s">
        <v>63</v>
      </c>
      <c r="M379" s="4">
        <v>0.1468281263867933</v>
      </c>
      <c r="N379" s="5">
        <f>_xlfn.XLOOKUP(L379,'Campaign Metadata'!$A$2:$A$6,'Campaign Metadata'!$B$2:$B$6)</f>
        <v>45458</v>
      </c>
      <c r="O379" s="5">
        <f>_xlfn.XLOOKUP(L379,'Campaign Metadata'!$A$2:$A$6,'Campaign Metadata'!$C$2:$C$6)</f>
        <v>45488</v>
      </c>
      <c r="P379" t="str">
        <f t="shared" si="5"/>
        <v>After</v>
      </c>
    </row>
    <row r="380" spans="1:16" x14ac:dyDescent="0.3">
      <c r="A380" t="s">
        <v>259</v>
      </c>
      <c r="B380" s="21" t="s">
        <v>32</v>
      </c>
      <c r="C380" s="5">
        <v>45739</v>
      </c>
      <c r="D380" s="21" t="s">
        <v>25</v>
      </c>
      <c r="E380" s="21" t="s">
        <v>6</v>
      </c>
      <c r="F380" s="22">
        <v>17728</v>
      </c>
      <c r="G380" s="22">
        <v>1487</v>
      </c>
      <c r="H380" s="22">
        <v>210</v>
      </c>
      <c r="I380" s="22">
        <v>2469</v>
      </c>
      <c r="J380" s="22">
        <v>30565</v>
      </c>
      <c r="K380" s="22">
        <v>117576</v>
      </c>
      <c r="L380" s="21" t="s">
        <v>59</v>
      </c>
      <c r="M380" s="4">
        <v>0.16521228822208614</v>
      </c>
      <c r="N380" s="5">
        <f>_xlfn.XLOOKUP(L380,'Campaign Metadata'!$A$2:$A$6,'Campaign Metadata'!$B$2:$B$6)</f>
        <v>45651</v>
      </c>
      <c r="O380" s="5">
        <f>_xlfn.XLOOKUP(L380,'Campaign Metadata'!$A$2:$A$6,'Campaign Metadata'!$C$2:$C$6)</f>
        <v>45667</v>
      </c>
      <c r="P380" t="str">
        <f t="shared" si="5"/>
        <v>After</v>
      </c>
    </row>
    <row r="381" spans="1:16" x14ac:dyDescent="0.3">
      <c r="A381" t="s">
        <v>259</v>
      </c>
      <c r="B381" s="21" t="s">
        <v>32</v>
      </c>
      <c r="C381" s="5">
        <v>45739</v>
      </c>
      <c r="D381" s="21" t="s">
        <v>25</v>
      </c>
      <c r="E381" s="21" t="s">
        <v>5</v>
      </c>
      <c r="F381" s="22">
        <v>17728</v>
      </c>
      <c r="G381" s="22">
        <v>1487</v>
      </c>
      <c r="H381" s="22">
        <v>210</v>
      </c>
      <c r="I381" s="22">
        <v>2469</v>
      </c>
      <c r="J381" s="22">
        <v>30565</v>
      </c>
      <c r="K381" s="22">
        <v>117576</v>
      </c>
      <c r="L381" s="21" t="s">
        <v>59</v>
      </c>
      <c r="M381" s="4">
        <v>0.16521228822208614</v>
      </c>
      <c r="N381" s="5">
        <f>_xlfn.XLOOKUP(L381,'Campaign Metadata'!$A$2:$A$6,'Campaign Metadata'!$B$2:$B$6)</f>
        <v>45651</v>
      </c>
      <c r="O381" s="5">
        <f>_xlfn.XLOOKUP(L381,'Campaign Metadata'!$A$2:$A$6,'Campaign Metadata'!$C$2:$C$6)</f>
        <v>45667</v>
      </c>
      <c r="P381" t="str">
        <f t="shared" si="5"/>
        <v>After</v>
      </c>
    </row>
    <row r="382" spans="1:16" x14ac:dyDescent="0.3">
      <c r="A382" t="s">
        <v>216</v>
      </c>
      <c r="B382" s="21" t="s">
        <v>32</v>
      </c>
      <c r="C382" s="5">
        <v>45740</v>
      </c>
      <c r="D382" s="21" t="s">
        <v>26</v>
      </c>
      <c r="E382" s="21" t="s">
        <v>18</v>
      </c>
      <c r="F382" s="22">
        <v>10172</v>
      </c>
      <c r="G382" s="22">
        <v>1398</v>
      </c>
      <c r="H382" s="22">
        <v>394</v>
      </c>
      <c r="I382" s="22">
        <v>2358</v>
      </c>
      <c r="J382" s="22">
        <v>59610</v>
      </c>
      <c r="K382" s="22">
        <v>76321</v>
      </c>
      <c r="L382" s="21" t="s">
        <v>63</v>
      </c>
      <c r="M382" s="4">
        <v>0.15675895231980713</v>
      </c>
      <c r="N382" s="5">
        <f>_xlfn.XLOOKUP(L382,'Campaign Metadata'!$A$2:$A$6,'Campaign Metadata'!$B$2:$B$6)</f>
        <v>45458</v>
      </c>
      <c r="O382" s="5">
        <f>_xlfn.XLOOKUP(L382,'Campaign Metadata'!$A$2:$A$6,'Campaign Metadata'!$C$2:$C$6)</f>
        <v>45488</v>
      </c>
      <c r="P382" t="str">
        <f t="shared" si="5"/>
        <v>After</v>
      </c>
    </row>
    <row r="383" spans="1:16" x14ac:dyDescent="0.3">
      <c r="A383" t="s">
        <v>166</v>
      </c>
      <c r="B383" s="21" t="s">
        <v>29</v>
      </c>
      <c r="C383" s="5">
        <v>45741</v>
      </c>
      <c r="D383" s="21" t="s">
        <v>25</v>
      </c>
      <c r="E383" s="21" t="s">
        <v>11</v>
      </c>
      <c r="F383" s="22">
        <v>5900</v>
      </c>
      <c r="G383" s="22">
        <v>546</v>
      </c>
      <c r="H383" s="22">
        <v>592</v>
      </c>
      <c r="I383" s="22">
        <v>1594</v>
      </c>
      <c r="J383" s="22">
        <v>38627</v>
      </c>
      <c r="K383" s="22">
        <v>164398</v>
      </c>
      <c r="L383" s="21" t="s">
        <v>65</v>
      </c>
      <c r="M383" s="4">
        <v>4.2810739790021778E-2</v>
      </c>
      <c r="N383" s="5">
        <f>_xlfn.XLOOKUP(L383,'Campaign Metadata'!$A$2:$A$6,'Campaign Metadata'!$B$2:$B$6)</f>
        <v>45566</v>
      </c>
      <c r="O383" s="5">
        <f>_xlfn.XLOOKUP(L383,'Campaign Metadata'!$A$2:$A$6,'Campaign Metadata'!$C$2:$C$6)</f>
        <v>45596</v>
      </c>
      <c r="P383" t="str">
        <f t="shared" si="5"/>
        <v>After</v>
      </c>
    </row>
    <row r="384" spans="1:16" x14ac:dyDescent="0.3">
      <c r="A384" t="s">
        <v>166</v>
      </c>
      <c r="B384" s="21" t="s">
        <v>29</v>
      </c>
      <c r="C384" s="5">
        <v>45741</v>
      </c>
      <c r="D384" s="21" t="s">
        <v>25</v>
      </c>
      <c r="E384" s="21" t="s">
        <v>1</v>
      </c>
      <c r="F384" s="22">
        <v>5900</v>
      </c>
      <c r="G384" s="22">
        <v>546</v>
      </c>
      <c r="H384" s="22">
        <v>592</v>
      </c>
      <c r="I384" s="22">
        <v>1594</v>
      </c>
      <c r="J384" s="22">
        <v>38627</v>
      </c>
      <c r="K384" s="22">
        <v>164398</v>
      </c>
      <c r="L384" s="21" t="s">
        <v>65</v>
      </c>
      <c r="M384" s="4">
        <v>4.2810739790021778E-2</v>
      </c>
      <c r="N384" s="5">
        <f>_xlfn.XLOOKUP(L384,'Campaign Metadata'!$A$2:$A$6,'Campaign Metadata'!$B$2:$B$6)</f>
        <v>45566</v>
      </c>
      <c r="O384" s="5">
        <f>_xlfn.XLOOKUP(L384,'Campaign Metadata'!$A$2:$A$6,'Campaign Metadata'!$C$2:$C$6)</f>
        <v>45596</v>
      </c>
      <c r="P384" t="str">
        <f t="shared" si="5"/>
        <v>After</v>
      </c>
    </row>
    <row r="385" spans="1:16" x14ac:dyDescent="0.3">
      <c r="A385" t="s">
        <v>229</v>
      </c>
      <c r="B385" s="21" t="s">
        <v>30</v>
      </c>
      <c r="C385" s="5">
        <v>45743</v>
      </c>
      <c r="D385" s="21" t="s">
        <v>27</v>
      </c>
      <c r="E385" s="21" t="s">
        <v>15</v>
      </c>
      <c r="F385" s="22">
        <v>14819</v>
      </c>
      <c r="G385" s="22">
        <v>1432</v>
      </c>
      <c r="H385" s="22">
        <v>152</v>
      </c>
      <c r="I385" s="22">
        <v>961</v>
      </c>
      <c r="J385" s="22">
        <v>39154</v>
      </c>
      <c r="K385" s="22">
        <v>154793</v>
      </c>
      <c r="L385" s="21" t="s">
        <v>63</v>
      </c>
      <c r="M385" s="4">
        <v>0.10596732410380315</v>
      </c>
      <c r="N385" s="5">
        <f>_xlfn.XLOOKUP(L385,'Campaign Metadata'!$A$2:$A$6,'Campaign Metadata'!$B$2:$B$6)</f>
        <v>45458</v>
      </c>
      <c r="O385" s="5">
        <f>_xlfn.XLOOKUP(L385,'Campaign Metadata'!$A$2:$A$6,'Campaign Metadata'!$C$2:$C$6)</f>
        <v>45488</v>
      </c>
      <c r="P385" t="str">
        <f t="shared" si="5"/>
        <v>After</v>
      </c>
    </row>
    <row r="386" spans="1:16" x14ac:dyDescent="0.3">
      <c r="A386" t="s">
        <v>229</v>
      </c>
      <c r="B386" s="21" t="s">
        <v>30</v>
      </c>
      <c r="C386" s="5">
        <v>45743</v>
      </c>
      <c r="D386" s="21" t="s">
        <v>27</v>
      </c>
      <c r="E386" s="21" t="s">
        <v>18</v>
      </c>
      <c r="F386" s="22">
        <v>14819</v>
      </c>
      <c r="G386" s="22">
        <v>1432</v>
      </c>
      <c r="H386" s="22">
        <v>152</v>
      </c>
      <c r="I386" s="22">
        <v>961</v>
      </c>
      <c r="J386" s="22">
        <v>39154</v>
      </c>
      <c r="K386" s="22">
        <v>154793</v>
      </c>
      <c r="L386" s="21" t="s">
        <v>63</v>
      </c>
      <c r="M386" s="4">
        <v>0.10596732410380315</v>
      </c>
      <c r="N386" s="5">
        <f>_xlfn.XLOOKUP(L386,'Campaign Metadata'!$A$2:$A$6,'Campaign Metadata'!$B$2:$B$6)</f>
        <v>45458</v>
      </c>
      <c r="O386" s="5">
        <f>_xlfn.XLOOKUP(L386,'Campaign Metadata'!$A$2:$A$6,'Campaign Metadata'!$C$2:$C$6)</f>
        <v>45488</v>
      </c>
      <c r="P386" t="str">
        <f t="shared" si="5"/>
        <v>After</v>
      </c>
    </row>
    <row r="387" spans="1:16" x14ac:dyDescent="0.3">
      <c r="A387" t="s">
        <v>202</v>
      </c>
      <c r="B387" s="21" t="s">
        <v>32</v>
      </c>
      <c r="C387" s="5">
        <v>45744</v>
      </c>
      <c r="D387" s="21" t="s">
        <v>27</v>
      </c>
      <c r="E387" s="21" t="s">
        <v>10</v>
      </c>
      <c r="F387" s="22">
        <v>6363</v>
      </c>
      <c r="G387" s="22">
        <v>1341</v>
      </c>
      <c r="H387" s="22">
        <v>222</v>
      </c>
      <c r="I387" s="22">
        <v>2712</v>
      </c>
      <c r="J387" s="22">
        <v>19987</v>
      </c>
      <c r="K387" s="22">
        <v>160585</v>
      </c>
      <c r="L387" s="21" t="s">
        <v>60</v>
      </c>
      <c r="M387" s="4">
        <v>4.9357038328611019E-2</v>
      </c>
      <c r="N387" s="5">
        <f>_xlfn.XLOOKUP(L387,'Campaign Metadata'!$A$2:$A$6,'Campaign Metadata'!$B$2:$B$6)</f>
        <v>45717</v>
      </c>
      <c r="O387" s="5">
        <f>_xlfn.XLOOKUP(L387,'Campaign Metadata'!$A$2:$A$6,'Campaign Metadata'!$C$2:$C$6)</f>
        <v>45747</v>
      </c>
      <c r="P387" t="str">
        <f t="shared" ref="P387:P450" si="6">IF(C387&lt;N387, "Before", IF(C387&gt;O387, "After", "During"))</f>
        <v>During</v>
      </c>
    </row>
    <row r="388" spans="1:16" x14ac:dyDescent="0.3">
      <c r="A388" t="s">
        <v>202</v>
      </c>
      <c r="B388" s="21" t="s">
        <v>32</v>
      </c>
      <c r="C388" s="5">
        <v>45744</v>
      </c>
      <c r="D388" s="21" t="s">
        <v>27</v>
      </c>
      <c r="E388" s="21" t="s">
        <v>8</v>
      </c>
      <c r="F388" s="22">
        <v>6363</v>
      </c>
      <c r="G388" s="22">
        <v>1341</v>
      </c>
      <c r="H388" s="22">
        <v>222</v>
      </c>
      <c r="I388" s="22">
        <v>2712</v>
      </c>
      <c r="J388" s="22">
        <v>19987</v>
      </c>
      <c r="K388" s="22">
        <v>160585</v>
      </c>
      <c r="L388" s="21" t="s">
        <v>60</v>
      </c>
      <c r="M388" s="4">
        <v>4.9357038328611019E-2</v>
      </c>
      <c r="N388" s="5">
        <f>_xlfn.XLOOKUP(L388,'Campaign Metadata'!$A$2:$A$6,'Campaign Metadata'!$B$2:$B$6)</f>
        <v>45717</v>
      </c>
      <c r="O388" s="5">
        <f>_xlfn.XLOOKUP(L388,'Campaign Metadata'!$A$2:$A$6,'Campaign Metadata'!$C$2:$C$6)</f>
        <v>45747</v>
      </c>
      <c r="P388" t="str">
        <f t="shared" si="6"/>
        <v>During</v>
      </c>
    </row>
    <row r="389" spans="1:16" x14ac:dyDescent="0.3">
      <c r="A389" t="s">
        <v>147</v>
      </c>
      <c r="B389" s="21" t="s">
        <v>30</v>
      </c>
      <c r="C389" s="5">
        <v>45744</v>
      </c>
      <c r="D389" s="21" t="s">
        <v>26</v>
      </c>
      <c r="E389" s="21" t="s">
        <v>7</v>
      </c>
      <c r="F389" s="22">
        <v>13637</v>
      </c>
      <c r="G389" s="22">
        <v>1135</v>
      </c>
      <c r="H389" s="22">
        <v>540</v>
      </c>
      <c r="I389" s="22">
        <v>1288</v>
      </c>
      <c r="J389" s="22">
        <v>45183</v>
      </c>
      <c r="K389" s="22">
        <v>79062</v>
      </c>
      <c r="L389" s="21" t="s">
        <v>65</v>
      </c>
      <c r="M389" s="4">
        <v>0.19367079001290127</v>
      </c>
      <c r="N389" s="5">
        <f>_xlfn.XLOOKUP(L389,'Campaign Metadata'!$A$2:$A$6,'Campaign Metadata'!$B$2:$B$6)</f>
        <v>45566</v>
      </c>
      <c r="O389" s="5">
        <f>_xlfn.XLOOKUP(L389,'Campaign Metadata'!$A$2:$A$6,'Campaign Metadata'!$C$2:$C$6)</f>
        <v>45596</v>
      </c>
      <c r="P389" t="str">
        <f t="shared" si="6"/>
        <v>After</v>
      </c>
    </row>
    <row r="390" spans="1:16" x14ac:dyDescent="0.3">
      <c r="A390" t="s">
        <v>147</v>
      </c>
      <c r="B390" s="21" t="s">
        <v>30</v>
      </c>
      <c r="C390" s="5">
        <v>45744</v>
      </c>
      <c r="D390" s="21" t="s">
        <v>26</v>
      </c>
      <c r="E390" s="21" t="s">
        <v>9</v>
      </c>
      <c r="F390" s="22">
        <v>13637</v>
      </c>
      <c r="G390" s="22">
        <v>1135</v>
      </c>
      <c r="H390" s="22">
        <v>540</v>
      </c>
      <c r="I390" s="22">
        <v>1288</v>
      </c>
      <c r="J390" s="22">
        <v>45183</v>
      </c>
      <c r="K390" s="22">
        <v>79062</v>
      </c>
      <c r="L390" s="21" t="s">
        <v>65</v>
      </c>
      <c r="M390" s="4">
        <v>0.19367079001290127</v>
      </c>
      <c r="N390" s="5">
        <f>_xlfn.XLOOKUP(L390,'Campaign Metadata'!$A$2:$A$6,'Campaign Metadata'!$B$2:$B$6)</f>
        <v>45566</v>
      </c>
      <c r="O390" s="5">
        <f>_xlfn.XLOOKUP(L390,'Campaign Metadata'!$A$2:$A$6,'Campaign Metadata'!$C$2:$C$6)</f>
        <v>45596</v>
      </c>
      <c r="P390" t="str">
        <f t="shared" si="6"/>
        <v>After</v>
      </c>
    </row>
    <row r="391" spans="1:16" x14ac:dyDescent="0.3">
      <c r="A391" t="s">
        <v>220</v>
      </c>
      <c r="B391" s="21" t="s">
        <v>30</v>
      </c>
      <c r="C391" s="5">
        <v>45745</v>
      </c>
      <c r="D391" s="21" t="s">
        <v>28</v>
      </c>
      <c r="E391" s="21" t="s">
        <v>9</v>
      </c>
      <c r="F391" s="22">
        <v>19461</v>
      </c>
      <c r="G391" s="22">
        <v>1382</v>
      </c>
      <c r="H391" s="22">
        <v>445</v>
      </c>
      <c r="I391" s="22">
        <v>1307</v>
      </c>
      <c r="J391" s="22">
        <v>84691</v>
      </c>
      <c r="K391" s="22">
        <v>151453</v>
      </c>
      <c r="L391" s="21" t="s">
        <v>63</v>
      </c>
      <c r="M391" s="4">
        <v>0.14055845707909384</v>
      </c>
      <c r="N391" s="5">
        <f>_xlfn.XLOOKUP(L391,'Campaign Metadata'!$A$2:$A$6,'Campaign Metadata'!$B$2:$B$6)</f>
        <v>45458</v>
      </c>
      <c r="O391" s="5">
        <f>_xlfn.XLOOKUP(L391,'Campaign Metadata'!$A$2:$A$6,'Campaign Metadata'!$C$2:$C$6)</f>
        <v>45488</v>
      </c>
      <c r="P391" t="str">
        <f t="shared" si="6"/>
        <v>After</v>
      </c>
    </row>
    <row r="392" spans="1:16" x14ac:dyDescent="0.3">
      <c r="A392" t="s">
        <v>220</v>
      </c>
      <c r="B392" s="21" t="s">
        <v>30</v>
      </c>
      <c r="C392" s="5">
        <v>45745</v>
      </c>
      <c r="D392" s="21" t="s">
        <v>28</v>
      </c>
      <c r="E392" s="21" t="s">
        <v>7</v>
      </c>
      <c r="F392" s="22">
        <v>19461</v>
      </c>
      <c r="G392" s="22">
        <v>1382</v>
      </c>
      <c r="H392" s="22">
        <v>445</v>
      </c>
      <c r="I392" s="22">
        <v>1307</v>
      </c>
      <c r="J392" s="22">
        <v>84691</v>
      </c>
      <c r="K392" s="22">
        <v>151453</v>
      </c>
      <c r="L392" s="21" t="s">
        <v>63</v>
      </c>
      <c r="M392" s="4">
        <v>0.14055845707909384</v>
      </c>
      <c r="N392" s="5">
        <f>_xlfn.XLOOKUP(L392,'Campaign Metadata'!$A$2:$A$6,'Campaign Metadata'!$B$2:$B$6)</f>
        <v>45458</v>
      </c>
      <c r="O392" s="5">
        <f>_xlfn.XLOOKUP(L392,'Campaign Metadata'!$A$2:$A$6,'Campaign Metadata'!$C$2:$C$6)</f>
        <v>45488</v>
      </c>
      <c r="P392" t="str">
        <f t="shared" si="6"/>
        <v>After</v>
      </c>
    </row>
    <row r="393" spans="1:16" x14ac:dyDescent="0.3">
      <c r="A393" t="s">
        <v>224</v>
      </c>
      <c r="B393" s="21" t="s">
        <v>29</v>
      </c>
      <c r="C393" s="5">
        <v>45745</v>
      </c>
      <c r="D393" s="21" t="s">
        <v>25</v>
      </c>
      <c r="E393" s="21" t="s">
        <v>1</v>
      </c>
      <c r="F393" s="22">
        <v>23508</v>
      </c>
      <c r="G393" s="22">
        <v>585</v>
      </c>
      <c r="H393" s="22">
        <v>743</v>
      </c>
      <c r="I393" s="22">
        <v>2155</v>
      </c>
      <c r="J393" s="22">
        <v>3704</v>
      </c>
      <c r="K393" s="22">
        <v>194268</v>
      </c>
      <c r="L393" s="21" t="s">
        <v>63</v>
      </c>
      <c r="M393" s="4">
        <v>0.1278440093067309</v>
      </c>
      <c r="N393" s="5">
        <f>_xlfn.XLOOKUP(L393,'Campaign Metadata'!$A$2:$A$6,'Campaign Metadata'!$B$2:$B$6)</f>
        <v>45458</v>
      </c>
      <c r="O393" s="5">
        <f>_xlfn.XLOOKUP(L393,'Campaign Metadata'!$A$2:$A$6,'Campaign Metadata'!$C$2:$C$6)</f>
        <v>45488</v>
      </c>
      <c r="P393" t="str">
        <f t="shared" si="6"/>
        <v>After</v>
      </c>
    </row>
    <row r="394" spans="1:16" x14ac:dyDescent="0.3">
      <c r="A394" t="s">
        <v>224</v>
      </c>
      <c r="B394" s="21" t="s">
        <v>29</v>
      </c>
      <c r="C394" s="5">
        <v>45745</v>
      </c>
      <c r="D394" s="21" t="s">
        <v>25</v>
      </c>
      <c r="E394" s="21" t="s">
        <v>11</v>
      </c>
      <c r="F394" s="22">
        <v>23508</v>
      </c>
      <c r="G394" s="22">
        <v>585</v>
      </c>
      <c r="H394" s="22">
        <v>743</v>
      </c>
      <c r="I394" s="22">
        <v>2155</v>
      </c>
      <c r="J394" s="22">
        <v>3704</v>
      </c>
      <c r="K394" s="22">
        <v>194268</v>
      </c>
      <c r="L394" s="21" t="s">
        <v>63</v>
      </c>
      <c r="M394" s="4">
        <v>0.1278440093067309</v>
      </c>
      <c r="N394" s="5">
        <f>_xlfn.XLOOKUP(L394,'Campaign Metadata'!$A$2:$A$6,'Campaign Metadata'!$B$2:$B$6)</f>
        <v>45458</v>
      </c>
      <c r="O394" s="5">
        <f>_xlfn.XLOOKUP(L394,'Campaign Metadata'!$A$2:$A$6,'Campaign Metadata'!$C$2:$C$6)</f>
        <v>45488</v>
      </c>
      <c r="P394" t="str">
        <f t="shared" si="6"/>
        <v>After</v>
      </c>
    </row>
    <row r="395" spans="1:16" x14ac:dyDescent="0.3">
      <c r="A395" t="s">
        <v>285</v>
      </c>
      <c r="B395" s="21" t="s">
        <v>29</v>
      </c>
      <c r="C395" s="5">
        <v>45748</v>
      </c>
      <c r="D395" s="21" t="s">
        <v>26</v>
      </c>
      <c r="E395" s="21" t="s">
        <v>6</v>
      </c>
      <c r="F395" s="22">
        <v>6432</v>
      </c>
      <c r="G395" s="22">
        <v>1272</v>
      </c>
      <c r="H395" s="22">
        <v>498</v>
      </c>
      <c r="I395" s="22">
        <v>677</v>
      </c>
      <c r="J395" s="22">
        <v>47305</v>
      </c>
      <c r="K395" s="22">
        <v>119134</v>
      </c>
      <c r="L395" s="21" t="s">
        <v>59</v>
      </c>
      <c r="M395" s="4">
        <v>6.8846844729464299E-2</v>
      </c>
      <c r="N395" s="5">
        <f>_xlfn.XLOOKUP(L395,'Campaign Metadata'!$A$2:$A$6,'Campaign Metadata'!$B$2:$B$6)</f>
        <v>45651</v>
      </c>
      <c r="O395" s="5">
        <f>_xlfn.XLOOKUP(L395,'Campaign Metadata'!$A$2:$A$6,'Campaign Metadata'!$C$2:$C$6)</f>
        <v>45667</v>
      </c>
      <c r="P395" t="str">
        <f t="shared" si="6"/>
        <v>After</v>
      </c>
    </row>
    <row r="396" spans="1:16" x14ac:dyDescent="0.3">
      <c r="A396" t="s">
        <v>285</v>
      </c>
      <c r="B396" s="21" t="s">
        <v>29</v>
      </c>
      <c r="C396" s="5">
        <v>45748</v>
      </c>
      <c r="D396" s="21" t="s">
        <v>26</v>
      </c>
      <c r="E396" s="21" t="s">
        <v>5</v>
      </c>
      <c r="F396" s="22">
        <v>6432</v>
      </c>
      <c r="G396" s="22">
        <v>1272</v>
      </c>
      <c r="H396" s="22">
        <v>498</v>
      </c>
      <c r="I396" s="22">
        <v>677</v>
      </c>
      <c r="J396" s="22">
        <v>47305</v>
      </c>
      <c r="K396" s="22">
        <v>119134</v>
      </c>
      <c r="L396" s="21" t="s">
        <v>59</v>
      </c>
      <c r="M396" s="4">
        <v>6.8846844729464299E-2</v>
      </c>
      <c r="N396" s="5">
        <f>_xlfn.XLOOKUP(L396,'Campaign Metadata'!$A$2:$A$6,'Campaign Metadata'!$B$2:$B$6)</f>
        <v>45651</v>
      </c>
      <c r="O396" s="5">
        <f>_xlfn.XLOOKUP(L396,'Campaign Metadata'!$A$2:$A$6,'Campaign Metadata'!$C$2:$C$6)</f>
        <v>45667</v>
      </c>
      <c r="P396" t="str">
        <f t="shared" si="6"/>
        <v>After</v>
      </c>
    </row>
    <row r="397" spans="1:16" x14ac:dyDescent="0.3">
      <c r="A397" t="s">
        <v>133</v>
      </c>
      <c r="B397" s="21" t="s">
        <v>31</v>
      </c>
      <c r="C397" s="5">
        <v>45749</v>
      </c>
      <c r="D397" s="21" t="s">
        <v>27</v>
      </c>
      <c r="E397" s="21" t="s">
        <v>3</v>
      </c>
      <c r="F397" s="22">
        <v>6858</v>
      </c>
      <c r="G397" s="22">
        <v>415</v>
      </c>
      <c r="H397" s="22">
        <v>366</v>
      </c>
      <c r="I397" s="22">
        <v>2761</v>
      </c>
      <c r="J397" s="22">
        <v>2988</v>
      </c>
      <c r="K397" s="22">
        <v>177348</v>
      </c>
      <c r="L397" s="21" t="s">
        <v>59</v>
      </c>
      <c r="M397" s="4">
        <v>4.3073505198818141E-2</v>
      </c>
      <c r="N397" s="5">
        <f>_xlfn.XLOOKUP(L397,'Campaign Metadata'!$A$2:$A$6,'Campaign Metadata'!$B$2:$B$6)</f>
        <v>45651</v>
      </c>
      <c r="O397" s="5">
        <f>_xlfn.XLOOKUP(L397,'Campaign Metadata'!$A$2:$A$6,'Campaign Metadata'!$C$2:$C$6)</f>
        <v>45667</v>
      </c>
      <c r="P397" t="str">
        <f t="shared" si="6"/>
        <v>After</v>
      </c>
    </row>
    <row r="398" spans="1:16" x14ac:dyDescent="0.3">
      <c r="A398" t="s">
        <v>133</v>
      </c>
      <c r="B398" s="21" t="s">
        <v>31</v>
      </c>
      <c r="C398" s="5">
        <v>45749</v>
      </c>
      <c r="D398" s="21" t="s">
        <v>27</v>
      </c>
      <c r="E398" s="21" t="s">
        <v>14</v>
      </c>
      <c r="F398" s="22">
        <v>6858</v>
      </c>
      <c r="G398" s="22">
        <v>415</v>
      </c>
      <c r="H398" s="22">
        <v>366</v>
      </c>
      <c r="I398" s="22">
        <v>2761</v>
      </c>
      <c r="J398" s="22">
        <v>2988</v>
      </c>
      <c r="K398" s="22">
        <v>177348</v>
      </c>
      <c r="L398" s="21" t="s">
        <v>59</v>
      </c>
      <c r="M398" s="4">
        <v>4.3073505198818141E-2</v>
      </c>
      <c r="N398" s="5">
        <f>_xlfn.XLOOKUP(L398,'Campaign Metadata'!$A$2:$A$6,'Campaign Metadata'!$B$2:$B$6)</f>
        <v>45651</v>
      </c>
      <c r="O398" s="5">
        <f>_xlfn.XLOOKUP(L398,'Campaign Metadata'!$A$2:$A$6,'Campaign Metadata'!$C$2:$C$6)</f>
        <v>45667</v>
      </c>
      <c r="P398" t="str">
        <f t="shared" si="6"/>
        <v>After</v>
      </c>
    </row>
    <row r="399" spans="1:16" x14ac:dyDescent="0.3">
      <c r="A399" t="s">
        <v>190</v>
      </c>
      <c r="B399" s="21" t="s">
        <v>29</v>
      </c>
      <c r="C399" s="5">
        <v>45750</v>
      </c>
      <c r="D399" s="21" t="s">
        <v>26</v>
      </c>
      <c r="E399" s="21" t="s">
        <v>19</v>
      </c>
      <c r="F399" s="22">
        <v>10837</v>
      </c>
      <c r="G399" s="22">
        <v>1004</v>
      </c>
      <c r="H399" s="22">
        <v>922</v>
      </c>
      <c r="I399" s="22">
        <v>1108</v>
      </c>
      <c r="J399" s="22">
        <v>36807</v>
      </c>
      <c r="K399" s="22">
        <v>150350</v>
      </c>
      <c r="L399" s="21" t="s">
        <v>60</v>
      </c>
      <c r="M399" s="4">
        <v>8.4888593282341204E-2</v>
      </c>
      <c r="N399" s="5">
        <f>_xlfn.XLOOKUP(L399,'Campaign Metadata'!$A$2:$A$6,'Campaign Metadata'!$B$2:$B$6)</f>
        <v>45717</v>
      </c>
      <c r="O399" s="5">
        <f>_xlfn.XLOOKUP(L399,'Campaign Metadata'!$A$2:$A$6,'Campaign Metadata'!$C$2:$C$6)</f>
        <v>45747</v>
      </c>
      <c r="P399" t="str">
        <f t="shared" si="6"/>
        <v>After</v>
      </c>
    </row>
    <row r="400" spans="1:16" x14ac:dyDescent="0.3">
      <c r="A400" t="s">
        <v>190</v>
      </c>
      <c r="B400" s="21" t="s">
        <v>29</v>
      </c>
      <c r="C400" s="5">
        <v>45750</v>
      </c>
      <c r="D400" s="21" t="s">
        <v>26</v>
      </c>
      <c r="E400" s="21" t="s">
        <v>2</v>
      </c>
      <c r="F400" s="22">
        <v>10837</v>
      </c>
      <c r="G400" s="22">
        <v>1004</v>
      </c>
      <c r="H400" s="22">
        <v>922</v>
      </c>
      <c r="I400" s="22">
        <v>1108</v>
      </c>
      <c r="J400" s="22">
        <v>36807</v>
      </c>
      <c r="K400" s="22">
        <v>150350</v>
      </c>
      <c r="L400" s="21" t="s">
        <v>60</v>
      </c>
      <c r="M400" s="4">
        <v>8.4888593282341204E-2</v>
      </c>
      <c r="N400" s="5">
        <f>_xlfn.XLOOKUP(L400,'Campaign Metadata'!$A$2:$A$6,'Campaign Metadata'!$B$2:$B$6)</f>
        <v>45717</v>
      </c>
      <c r="O400" s="5">
        <f>_xlfn.XLOOKUP(L400,'Campaign Metadata'!$A$2:$A$6,'Campaign Metadata'!$C$2:$C$6)</f>
        <v>45747</v>
      </c>
      <c r="P400" t="str">
        <f t="shared" si="6"/>
        <v>After</v>
      </c>
    </row>
    <row r="401" spans="1:16" x14ac:dyDescent="0.3">
      <c r="A401" t="s">
        <v>277</v>
      </c>
      <c r="B401" s="21" t="s">
        <v>31</v>
      </c>
      <c r="C401" s="5">
        <v>45752</v>
      </c>
      <c r="D401" s="21" t="s">
        <v>28</v>
      </c>
      <c r="E401" s="21" t="s">
        <v>9</v>
      </c>
      <c r="F401" s="22">
        <v>22384</v>
      </c>
      <c r="G401" s="22">
        <v>601</v>
      </c>
      <c r="H401" s="22">
        <v>943</v>
      </c>
      <c r="I401" s="22">
        <v>515</v>
      </c>
      <c r="J401" s="22">
        <v>41309</v>
      </c>
      <c r="K401" s="22">
        <v>249373</v>
      </c>
      <c r="L401" s="21" t="s">
        <v>59</v>
      </c>
      <c r="M401" s="4">
        <v>9.5952649244304716E-2</v>
      </c>
      <c r="N401" s="5">
        <f>_xlfn.XLOOKUP(L401,'Campaign Metadata'!$A$2:$A$6,'Campaign Metadata'!$B$2:$B$6)</f>
        <v>45651</v>
      </c>
      <c r="O401" s="5">
        <f>_xlfn.XLOOKUP(L401,'Campaign Metadata'!$A$2:$A$6,'Campaign Metadata'!$C$2:$C$6)</f>
        <v>45667</v>
      </c>
      <c r="P401" t="str">
        <f t="shared" si="6"/>
        <v>After</v>
      </c>
    </row>
    <row r="402" spans="1:16" x14ac:dyDescent="0.3">
      <c r="A402" t="s">
        <v>277</v>
      </c>
      <c r="B402" s="21" t="s">
        <v>31</v>
      </c>
      <c r="C402" s="5">
        <v>45752</v>
      </c>
      <c r="D402" s="21" t="s">
        <v>28</v>
      </c>
      <c r="E402" s="21" t="s">
        <v>7</v>
      </c>
      <c r="F402" s="22">
        <v>22384</v>
      </c>
      <c r="G402" s="22">
        <v>601</v>
      </c>
      <c r="H402" s="22">
        <v>943</v>
      </c>
      <c r="I402" s="22">
        <v>515</v>
      </c>
      <c r="J402" s="22">
        <v>41309</v>
      </c>
      <c r="K402" s="22">
        <v>249373</v>
      </c>
      <c r="L402" s="21" t="s">
        <v>59</v>
      </c>
      <c r="M402" s="4">
        <v>9.5952649244304716E-2</v>
      </c>
      <c r="N402" s="5">
        <f>_xlfn.XLOOKUP(L402,'Campaign Metadata'!$A$2:$A$6,'Campaign Metadata'!$B$2:$B$6)</f>
        <v>45651</v>
      </c>
      <c r="O402" s="5">
        <f>_xlfn.XLOOKUP(L402,'Campaign Metadata'!$A$2:$A$6,'Campaign Metadata'!$C$2:$C$6)</f>
        <v>45667</v>
      </c>
      <c r="P402" t="str">
        <f t="shared" si="6"/>
        <v>After</v>
      </c>
    </row>
    <row r="403" spans="1:16" x14ac:dyDescent="0.3">
      <c r="A403" t="s">
        <v>234</v>
      </c>
      <c r="B403" s="21" t="s">
        <v>32</v>
      </c>
      <c r="C403" s="5">
        <v>45753</v>
      </c>
      <c r="D403" s="21" t="s">
        <v>27</v>
      </c>
      <c r="E403" s="21" t="s">
        <v>15</v>
      </c>
      <c r="F403" s="22">
        <v>8238</v>
      </c>
      <c r="G403" s="22">
        <v>766</v>
      </c>
      <c r="H403" s="22">
        <v>235</v>
      </c>
      <c r="I403" s="22">
        <v>1273</v>
      </c>
      <c r="J403" s="22">
        <v>4706</v>
      </c>
      <c r="K403" s="22">
        <v>119141</v>
      </c>
      <c r="L403" s="21" t="s">
        <v>63</v>
      </c>
      <c r="M403" s="4">
        <v>7.7546772311798629E-2</v>
      </c>
      <c r="N403" s="5">
        <f>_xlfn.XLOOKUP(L403,'Campaign Metadata'!$A$2:$A$6,'Campaign Metadata'!$B$2:$B$6)</f>
        <v>45458</v>
      </c>
      <c r="O403" s="5">
        <f>_xlfn.XLOOKUP(L403,'Campaign Metadata'!$A$2:$A$6,'Campaign Metadata'!$C$2:$C$6)</f>
        <v>45488</v>
      </c>
      <c r="P403" t="str">
        <f t="shared" si="6"/>
        <v>After</v>
      </c>
    </row>
    <row r="404" spans="1:16" x14ac:dyDescent="0.3">
      <c r="A404" t="s">
        <v>234</v>
      </c>
      <c r="B404" s="21" t="s">
        <v>32</v>
      </c>
      <c r="C404" s="5">
        <v>45753</v>
      </c>
      <c r="D404" s="21" t="s">
        <v>27</v>
      </c>
      <c r="E404" s="21" t="s">
        <v>18</v>
      </c>
      <c r="F404" s="22">
        <v>8238</v>
      </c>
      <c r="G404" s="22">
        <v>766</v>
      </c>
      <c r="H404" s="22">
        <v>235</v>
      </c>
      <c r="I404" s="22">
        <v>1273</v>
      </c>
      <c r="J404" s="22">
        <v>4706</v>
      </c>
      <c r="K404" s="22">
        <v>119141</v>
      </c>
      <c r="L404" s="21" t="s">
        <v>63</v>
      </c>
      <c r="M404" s="4">
        <v>7.7546772311798629E-2</v>
      </c>
      <c r="N404" s="5">
        <f>_xlfn.XLOOKUP(L404,'Campaign Metadata'!$A$2:$A$6,'Campaign Metadata'!$B$2:$B$6)</f>
        <v>45458</v>
      </c>
      <c r="O404" s="5">
        <f>_xlfn.XLOOKUP(L404,'Campaign Metadata'!$A$2:$A$6,'Campaign Metadata'!$C$2:$C$6)</f>
        <v>45488</v>
      </c>
      <c r="P404" t="str">
        <f t="shared" si="6"/>
        <v>After</v>
      </c>
    </row>
    <row r="405" spans="1:16" x14ac:dyDescent="0.3">
      <c r="A405" t="s">
        <v>119</v>
      </c>
      <c r="B405" s="21" t="s">
        <v>32</v>
      </c>
      <c r="C405" s="5">
        <v>45753</v>
      </c>
      <c r="D405" s="21" t="s">
        <v>25</v>
      </c>
      <c r="E405" s="21" t="s">
        <v>3</v>
      </c>
      <c r="F405" s="22">
        <v>15917</v>
      </c>
      <c r="G405" s="22">
        <v>1479</v>
      </c>
      <c r="H405" s="22">
        <v>196</v>
      </c>
      <c r="I405" s="22">
        <v>313</v>
      </c>
      <c r="J405" s="22">
        <v>48524</v>
      </c>
      <c r="K405" s="22">
        <v>249684</v>
      </c>
      <c r="L405" s="21" t="s">
        <v>63</v>
      </c>
      <c r="M405" s="4">
        <v>7.0457057720959296E-2</v>
      </c>
      <c r="N405" s="5">
        <f>_xlfn.XLOOKUP(L405,'Campaign Metadata'!$A$2:$A$6,'Campaign Metadata'!$B$2:$B$6)</f>
        <v>45458</v>
      </c>
      <c r="O405" s="5">
        <f>_xlfn.XLOOKUP(L405,'Campaign Metadata'!$A$2:$A$6,'Campaign Metadata'!$C$2:$C$6)</f>
        <v>45488</v>
      </c>
      <c r="P405" t="str">
        <f t="shared" si="6"/>
        <v>After</v>
      </c>
    </row>
    <row r="406" spans="1:16" x14ac:dyDescent="0.3">
      <c r="A406" t="s">
        <v>119</v>
      </c>
      <c r="B406" s="21" t="s">
        <v>32</v>
      </c>
      <c r="C406" s="5">
        <v>45753</v>
      </c>
      <c r="D406" s="21" t="s">
        <v>25</v>
      </c>
      <c r="E406" s="21" t="s">
        <v>13</v>
      </c>
      <c r="F406" s="22">
        <v>15917</v>
      </c>
      <c r="G406" s="22">
        <v>1479</v>
      </c>
      <c r="H406" s="22">
        <v>196</v>
      </c>
      <c r="I406" s="22">
        <v>313</v>
      </c>
      <c r="J406" s="22">
        <v>48524</v>
      </c>
      <c r="K406" s="22">
        <v>249684</v>
      </c>
      <c r="L406" s="21" t="s">
        <v>63</v>
      </c>
      <c r="M406" s="4">
        <v>7.0457057720959296E-2</v>
      </c>
      <c r="N406" s="5">
        <f>_xlfn.XLOOKUP(L406,'Campaign Metadata'!$A$2:$A$6,'Campaign Metadata'!$B$2:$B$6)</f>
        <v>45458</v>
      </c>
      <c r="O406" s="5">
        <f>_xlfn.XLOOKUP(L406,'Campaign Metadata'!$A$2:$A$6,'Campaign Metadata'!$C$2:$C$6)</f>
        <v>45488</v>
      </c>
      <c r="P406" t="str">
        <f t="shared" si="6"/>
        <v>After</v>
      </c>
    </row>
    <row r="407" spans="1:16" x14ac:dyDescent="0.3">
      <c r="A407" t="s">
        <v>159</v>
      </c>
      <c r="B407" s="21" t="s">
        <v>29</v>
      </c>
      <c r="C407" s="5">
        <v>45753</v>
      </c>
      <c r="D407" s="21" t="s">
        <v>26</v>
      </c>
      <c r="E407" s="21" t="s">
        <v>17</v>
      </c>
      <c r="F407" s="22">
        <v>14941</v>
      </c>
      <c r="G407" s="22">
        <v>1424</v>
      </c>
      <c r="H407" s="22">
        <v>238</v>
      </c>
      <c r="I407" s="22">
        <v>1054</v>
      </c>
      <c r="J407" s="22">
        <v>20516</v>
      </c>
      <c r="K407" s="22">
        <v>216048</v>
      </c>
      <c r="L407" s="21" t="s">
        <v>65</v>
      </c>
      <c r="M407" s="4">
        <v>7.6848663260016298E-2</v>
      </c>
      <c r="N407" s="5">
        <f>_xlfn.XLOOKUP(L407,'Campaign Metadata'!$A$2:$A$6,'Campaign Metadata'!$B$2:$B$6)</f>
        <v>45566</v>
      </c>
      <c r="O407" s="5">
        <f>_xlfn.XLOOKUP(L407,'Campaign Metadata'!$A$2:$A$6,'Campaign Metadata'!$C$2:$C$6)</f>
        <v>45596</v>
      </c>
      <c r="P407" t="str">
        <f t="shared" si="6"/>
        <v>After</v>
      </c>
    </row>
    <row r="408" spans="1:16" x14ac:dyDescent="0.3">
      <c r="A408" t="s">
        <v>245</v>
      </c>
      <c r="B408" s="21" t="s">
        <v>32</v>
      </c>
      <c r="C408" s="5">
        <v>45754</v>
      </c>
      <c r="D408" s="21" t="s">
        <v>25</v>
      </c>
      <c r="E408" s="21" t="s">
        <v>18</v>
      </c>
      <c r="F408" s="22">
        <v>3062</v>
      </c>
      <c r="G408" s="22">
        <v>1124</v>
      </c>
      <c r="H408" s="22">
        <v>538</v>
      </c>
      <c r="I408" s="22">
        <v>2935</v>
      </c>
      <c r="J408" s="22">
        <v>69749</v>
      </c>
      <c r="K408" s="22">
        <v>91924</v>
      </c>
      <c r="L408" s="21" t="s">
        <v>63</v>
      </c>
      <c r="M408" s="4">
        <v>5.1390278926069365E-2</v>
      </c>
      <c r="N408" s="5">
        <f>_xlfn.XLOOKUP(L408,'Campaign Metadata'!$A$2:$A$6,'Campaign Metadata'!$B$2:$B$6)</f>
        <v>45458</v>
      </c>
      <c r="O408" s="5">
        <f>_xlfn.XLOOKUP(L408,'Campaign Metadata'!$A$2:$A$6,'Campaign Metadata'!$C$2:$C$6)</f>
        <v>45488</v>
      </c>
      <c r="P408" t="str">
        <f t="shared" si="6"/>
        <v>After</v>
      </c>
    </row>
    <row r="409" spans="1:16" x14ac:dyDescent="0.3">
      <c r="A409" t="s">
        <v>245</v>
      </c>
      <c r="B409" s="21" t="s">
        <v>32</v>
      </c>
      <c r="C409" s="5">
        <v>45754</v>
      </c>
      <c r="D409" s="21" t="s">
        <v>25</v>
      </c>
      <c r="E409" s="21" t="s">
        <v>15</v>
      </c>
      <c r="F409" s="22">
        <v>3062</v>
      </c>
      <c r="G409" s="22">
        <v>1124</v>
      </c>
      <c r="H409" s="22">
        <v>538</v>
      </c>
      <c r="I409" s="22">
        <v>2935</v>
      </c>
      <c r="J409" s="22">
        <v>69749</v>
      </c>
      <c r="K409" s="22">
        <v>91924</v>
      </c>
      <c r="L409" s="21" t="s">
        <v>63</v>
      </c>
      <c r="M409" s="4">
        <v>5.1390278926069365E-2</v>
      </c>
      <c r="N409" s="5">
        <f>_xlfn.XLOOKUP(L409,'Campaign Metadata'!$A$2:$A$6,'Campaign Metadata'!$B$2:$B$6)</f>
        <v>45458</v>
      </c>
      <c r="O409" s="5">
        <f>_xlfn.XLOOKUP(L409,'Campaign Metadata'!$A$2:$A$6,'Campaign Metadata'!$C$2:$C$6)</f>
        <v>45488</v>
      </c>
      <c r="P409" t="str">
        <f t="shared" si="6"/>
        <v>After</v>
      </c>
    </row>
    <row r="410" spans="1:16" x14ac:dyDescent="0.3">
      <c r="A410" t="s">
        <v>255</v>
      </c>
      <c r="B410" s="21" t="s">
        <v>30</v>
      </c>
      <c r="C410" s="5">
        <v>45755</v>
      </c>
      <c r="D410" s="21" t="s">
        <v>28</v>
      </c>
      <c r="E410" s="21" t="s">
        <v>10</v>
      </c>
      <c r="F410" s="22">
        <v>15568</v>
      </c>
      <c r="G410" s="22">
        <v>1166</v>
      </c>
      <c r="H410" s="22">
        <v>546</v>
      </c>
      <c r="I410" s="22">
        <v>826</v>
      </c>
      <c r="J410" s="22">
        <v>21836</v>
      </c>
      <c r="K410" s="22">
        <v>87055</v>
      </c>
      <c r="L410" s="21" t="s">
        <v>59</v>
      </c>
      <c r="M410" s="4">
        <v>0.19849520418126471</v>
      </c>
      <c r="N410" s="5">
        <f>_xlfn.XLOOKUP(L410,'Campaign Metadata'!$A$2:$A$6,'Campaign Metadata'!$B$2:$B$6)</f>
        <v>45651</v>
      </c>
      <c r="O410" s="5">
        <f>_xlfn.XLOOKUP(L410,'Campaign Metadata'!$A$2:$A$6,'Campaign Metadata'!$C$2:$C$6)</f>
        <v>45667</v>
      </c>
      <c r="P410" t="str">
        <f t="shared" si="6"/>
        <v>After</v>
      </c>
    </row>
    <row r="411" spans="1:16" x14ac:dyDescent="0.3">
      <c r="A411" t="s">
        <v>255</v>
      </c>
      <c r="B411" s="21" t="s">
        <v>30</v>
      </c>
      <c r="C411" s="5">
        <v>45755</v>
      </c>
      <c r="D411" s="21" t="s">
        <v>28</v>
      </c>
      <c r="E411" s="21" t="s">
        <v>8</v>
      </c>
      <c r="F411" s="22">
        <v>15568</v>
      </c>
      <c r="G411" s="22">
        <v>1166</v>
      </c>
      <c r="H411" s="22">
        <v>546</v>
      </c>
      <c r="I411" s="22">
        <v>826</v>
      </c>
      <c r="J411" s="22">
        <v>21836</v>
      </c>
      <c r="K411" s="22">
        <v>87055</v>
      </c>
      <c r="L411" s="21" t="s">
        <v>59</v>
      </c>
      <c r="M411" s="4">
        <v>0.19849520418126471</v>
      </c>
      <c r="N411" s="5">
        <f>_xlfn.XLOOKUP(L411,'Campaign Metadata'!$A$2:$A$6,'Campaign Metadata'!$B$2:$B$6)</f>
        <v>45651</v>
      </c>
      <c r="O411" s="5">
        <f>_xlfn.XLOOKUP(L411,'Campaign Metadata'!$A$2:$A$6,'Campaign Metadata'!$C$2:$C$6)</f>
        <v>45667</v>
      </c>
      <c r="P411" t="str">
        <f t="shared" si="6"/>
        <v>After</v>
      </c>
    </row>
    <row r="412" spans="1:16" x14ac:dyDescent="0.3">
      <c r="A412" t="s">
        <v>186</v>
      </c>
      <c r="B412" s="21" t="s">
        <v>30</v>
      </c>
      <c r="C412" s="5">
        <v>45760</v>
      </c>
      <c r="D412" s="21" t="s">
        <v>25</v>
      </c>
      <c r="E412" s="21" t="s">
        <v>17</v>
      </c>
      <c r="F412" s="22">
        <v>24700</v>
      </c>
      <c r="G412" s="22">
        <v>327</v>
      </c>
      <c r="H412" s="22">
        <v>999</v>
      </c>
      <c r="I412" s="22">
        <v>994</v>
      </c>
      <c r="J412" s="22">
        <v>59400</v>
      </c>
      <c r="K412" s="22">
        <v>243502</v>
      </c>
      <c r="L412" s="21" t="s">
        <v>60</v>
      </c>
      <c r="M412" s="4">
        <v>0.10688207899729776</v>
      </c>
      <c r="N412" s="5">
        <f>_xlfn.XLOOKUP(L412,'Campaign Metadata'!$A$2:$A$6,'Campaign Metadata'!$B$2:$B$6)</f>
        <v>45717</v>
      </c>
      <c r="O412" s="5">
        <f>_xlfn.XLOOKUP(L412,'Campaign Metadata'!$A$2:$A$6,'Campaign Metadata'!$C$2:$C$6)</f>
        <v>45747</v>
      </c>
      <c r="P412" t="str">
        <f t="shared" si="6"/>
        <v>After</v>
      </c>
    </row>
    <row r="413" spans="1:16" x14ac:dyDescent="0.3">
      <c r="A413" t="s">
        <v>204</v>
      </c>
      <c r="B413" s="21" t="s">
        <v>29</v>
      </c>
      <c r="C413" s="5">
        <v>45762</v>
      </c>
      <c r="D413" s="21" t="s">
        <v>25</v>
      </c>
      <c r="E413" s="21" t="s">
        <v>11</v>
      </c>
      <c r="F413" s="22">
        <v>5419</v>
      </c>
      <c r="G413" s="22">
        <v>1150</v>
      </c>
      <c r="H413" s="22">
        <v>656</v>
      </c>
      <c r="I413" s="22">
        <v>1990</v>
      </c>
      <c r="J413" s="22">
        <v>410</v>
      </c>
      <c r="K413" s="22">
        <v>158154</v>
      </c>
      <c r="L413" s="21" t="s">
        <v>60</v>
      </c>
      <c r="M413" s="4">
        <v>4.5683321319726342E-2</v>
      </c>
      <c r="N413" s="5">
        <f>_xlfn.XLOOKUP(L413,'Campaign Metadata'!$A$2:$A$6,'Campaign Metadata'!$B$2:$B$6)</f>
        <v>45717</v>
      </c>
      <c r="O413" s="5">
        <f>_xlfn.XLOOKUP(L413,'Campaign Metadata'!$A$2:$A$6,'Campaign Metadata'!$C$2:$C$6)</f>
        <v>45747</v>
      </c>
      <c r="P413" t="str">
        <f t="shared" si="6"/>
        <v>After</v>
      </c>
    </row>
    <row r="414" spans="1:16" x14ac:dyDescent="0.3">
      <c r="A414" t="s">
        <v>204</v>
      </c>
      <c r="B414" s="21" t="s">
        <v>29</v>
      </c>
      <c r="C414" s="5">
        <v>45762</v>
      </c>
      <c r="D414" s="21" t="s">
        <v>25</v>
      </c>
      <c r="E414" s="21" t="s">
        <v>1</v>
      </c>
      <c r="F414" s="22">
        <v>5419</v>
      </c>
      <c r="G414" s="22">
        <v>1150</v>
      </c>
      <c r="H414" s="22">
        <v>656</v>
      </c>
      <c r="I414" s="22">
        <v>1990</v>
      </c>
      <c r="J414" s="22">
        <v>410</v>
      </c>
      <c r="K414" s="22">
        <v>158154</v>
      </c>
      <c r="L414" s="21" t="s">
        <v>60</v>
      </c>
      <c r="M414" s="4">
        <v>4.5683321319726342E-2</v>
      </c>
      <c r="N414" s="5">
        <f>_xlfn.XLOOKUP(L414,'Campaign Metadata'!$A$2:$A$6,'Campaign Metadata'!$B$2:$B$6)</f>
        <v>45717</v>
      </c>
      <c r="O414" s="5">
        <f>_xlfn.XLOOKUP(L414,'Campaign Metadata'!$A$2:$A$6,'Campaign Metadata'!$C$2:$C$6)</f>
        <v>45747</v>
      </c>
      <c r="P414" t="str">
        <f t="shared" si="6"/>
        <v>After</v>
      </c>
    </row>
    <row r="415" spans="1:16" x14ac:dyDescent="0.3">
      <c r="A415" t="s">
        <v>74</v>
      </c>
      <c r="B415" s="21" t="s">
        <v>32</v>
      </c>
      <c r="C415" s="5">
        <v>45762</v>
      </c>
      <c r="D415" s="21" t="s">
        <v>28</v>
      </c>
      <c r="E415" s="21" t="s">
        <v>3</v>
      </c>
      <c r="F415" s="22">
        <v>20977</v>
      </c>
      <c r="G415" s="22">
        <v>1402</v>
      </c>
      <c r="H415" s="22">
        <v>301</v>
      </c>
      <c r="I415" s="22">
        <v>1284</v>
      </c>
      <c r="J415" s="22">
        <v>24620</v>
      </c>
      <c r="K415" s="22">
        <v>128009</v>
      </c>
      <c r="L415" s="21" t="s">
        <v>59</v>
      </c>
      <c r="M415" s="4">
        <v>0.17717504237983267</v>
      </c>
      <c r="N415" s="5">
        <f>_xlfn.XLOOKUP(L415,'Campaign Metadata'!$A$2:$A$6,'Campaign Metadata'!$B$2:$B$6)</f>
        <v>45651</v>
      </c>
      <c r="O415" s="5">
        <f>_xlfn.XLOOKUP(L415,'Campaign Metadata'!$A$2:$A$6,'Campaign Metadata'!$C$2:$C$6)</f>
        <v>45667</v>
      </c>
      <c r="P415" t="str">
        <f t="shared" si="6"/>
        <v>After</v>
      </c>
    </row>
    <row r="416" spans="1:16" x14ac:dyDescent="0.3">
      <c r="A416" t="s">
        <v>74</v>
      </c>
      <c r="B416" s="21" t="s">
        <v>32</v>
      </c>
      <c r="C416" s="5">
        <v>45762</v>
      </c>
      <c r="D416" s="21" t="s">
        <v>28</v>
      </c>
      <c r="E416" s="21" t="s">
        <v>14</v>
      </c>
      <c r="F416" s="22">
        <v>20977</v>
      </c>
      <c r="G416" s="22">
        <v>1402</v>
      </c>
      <c r="H416" s="22">
        <v>301</v>
      </c>
      <c r="I416" s="22">
        <v>1284</v>
      </c>
      <c r="J416" s="22">
        <v>24620</v>
      </c>
      <c r="K416" s="22">
        <v>128009</v>
      </c>
      <c r="L416" s="21" t="s">
        <v>59</v>
      </c>
      <c r="M416" s="4">
        <v>0.17717504237983267</v>
      </c>
      <c r="N416" s="5">
        <f>_xlfn.XLOOKUP(L416,'Campaign Metadata'!$A$2:$A$6,'Campaign Metadata'!$B$2:$B$6)</f>
        <v>45651</v>
      </c>
      <c r="O416" s="5">
        <f>_xlfn.XLOOKUP(L416,'Campaign Metadata'!$A$2:$A$6,'Campaign Metadata'!$C$2:$C$6)</f>
        <v>45667</v>
      </c>
      <c r="P416" t="str">
        <f t="shared" si="6"/>
        <v>After</v>
      </c>
    </row>
    <row r="417" spans="1:16" x14ac:dyDescent="0.3">
      <c r="A417" t="s">
        <v>240</v>
      </c>
      <c r="B417" s="21" t="s">
        <v>29</v>
      </c>
      <c r="C417" s="5">
        <v>45764</v>
      </c>
      <c r="D417" s="21" t="s">
        <v>27</v>
      </c>
      <c r="E417" s="21" t="s">
        <v>9</v>
      </c>
      <c r="F417" s="22">
        <v>2009</v>
      </c>
      <c r="G417" s="22">
        <v>1037</v>
      </c>
      <c r="H417" s="22">
        <v>344</v>
      </c>
      <c r="I417" s="22">
        <v>2277</v>
      </c>
      <c r="J417" s="22">
        <v>85743</v>
      </c>
      <c r="K417" s="22">
        <v>58743</v>
      </c>
      <c r="L417" s="21" t="s">
        <v>63</v>
      </c>
      <c r="M417" s="4">
        <v>5.7709003625963942E-2</v>
      </c>
      <c r="N417" s="5">
        <f>_xlfn.XLOOKUP(L417,'Campaign Metadata'!$A$2:$A$6,'Campaign Metadata'!$B$2:$B$6)</f>
        <v>45458</v>
      </c>
      <c r="O417" s="5">
        <f>_xlfn.XLOOKUP(L417,'Campaign Metadata'!$A$2:$A$6,'Campaign Metadata'!$C$2:$C$6)</f>
        <v>45488</v>
      </c>
      <c r="P417" t="str">
        <f t="shared" si="6"/>
        <v>After</v>
      </c>
    </row>
    <row r="418" spans="1:16" x14ac:dyDescent="0.3">
      <c r="A418" t="s">
        <v>240</v>
      </c>
      <c r="B418" s="21" t="s">
        <v>29</v>
      </c>
      <c r="C418" s="5">
        <v>45764</v>
      </c>
      <c r="D418" s="21" t="s">
        <v>27</v>
      </c>
      <c r="E418" s="21" t="s">
        <v>7</v>
      </c>
      <c r="F418" s="22">
        <v>2009</v>
      </c>
      <c r="G418" s="22">
        <v>1037</v>
      </c>
      <c r="H418" s="22">
        <v>344</v>
      </c>
      <c r="I418" s="22">
        <v>2277</v>
      </c>
      <c r="J418" s="22">
        <v>85743</v>
      </c>
      <c r="K418" s="22">
        <v>58743</v>
      </c>
      <c r="L418" s="21" t="s">
        <v>63</v>
      </c>
      <c r="M418" s="4">
        <v>5.7709003625963942E-2</v>
      </c>
      <c r="N418" s="5">
        <f>_xlfn.XLOOKUP(L418,'Campaign Metadata'!$A$2:$A$6,'Campaign Metadata'!$B$2:$B$6)</f>
        <v>45458</v>
      </c>
      <c r="O418" s="5">
        <f>_xlfn.XLOOKUP(L418,'Campaign Metadata'!$A$2:$A$6,'Campaign Metadata'!$C$2:$C$6)</f>
        <v>45488</v>
      </c>
      <c r="P418" t="str">
        <f t="shared" si="6"/>
        <v>After</v>
      </c>
    </row>
    <row r="419" spans="1:16" x14ac:dyDescent="0.3">
      <c r="A419" t="s">
        <v>179</v>
      </c>
      <c r="B419" s="21" t="s">
        <v>29</v>
      </c>
      <c r="C419" s="5">
        <v>45766</v>
      </c>
      <c r="D419" s="21" t="s">
        <v>25</v>
      </c>
      <c r="E419" s="21" t="s">
        <v>17</v>
      </c>
      <c r="F419" s="22">
        <v>20384</v>
      </c>
      <c r="G419" s="22">
        <v>344</v>
      </c>
      <c r="H419" s="22">
        <v>956</v>
      </c>
      <c r="I419" s="22">
        <v>655</v>
      </c>
      <c r="J419" s="22">
        <v>67621</v>
      </c>
      <c r="K419" s="22">
        <v>175720</v>
      </c>
      <c r="L419" s="21" t="s">
        <v>60</v>
      </c>
      <c r="M419" s="4">
        <v>0.12340086501251991</v>
      </c>
      <c r="N419" s="5">
        <f>_xlfn.XLOOKUP(L419,'Campaign Metadata'!$A$2:$A$6,'Campaign Metadata'!$B$2:$B$6)</f>
        <v>45717</v>
      </c>
      <c r="O419" s="5">
        <f>_xlfn.XLOOKUP(L419,'Campaign Metadata'!$A$2:$A$6,'Campaign Metadata'!$C$2:$C$6)</f>
        <v>45747</v>
      </c>
      <c r="P419" t="str">
        <f t="shared" si="6"/>
        <v>After</v>
      </c>
    </row>
    <row r="420" spans="1:16" x14ac:dyDescent="0.3">
      <c r="A420" t="s">
        <v>196</v>
      </c>
      <c r="B420" s="21" t="s">
        <v>32</v>
      </c>
      <c r="C420" s="5">
        <v>45766</v>
      </c>
      <c r="D420" s="21" t="s">
        <v>26</v>
      </c>
      <c r="E420" s="21" t="s">
        <v>5</v>
      </c>
      <c r="F420" s="22">
        <v>8881</v>
      </c>
      <c r="G420" s="22">
        <v>210</v>
      </c>
      <c r="H420" s="22">
        <v>673</v>
      </c>
      <c r="I420" s="22">
        <v>1565</v>
      </c>
      <c r="J420" s="22">
        <v>24847</v>
      </c>
      <c r="K420" s="22">
        <v>156891</v>
      </c>
      <c r="L420" s="21" t="s">
        <v>60</v>
      </c>
      <c r="M420" s="4">
        <v>6.223429004850501E-2</v>
      </c>
      <c r="N420" s="5">
        <f>_xlfn.XLOOKUP(L420,'Campaign Metadata'!$A$2:$A$6,'Campaign Metadata'!$B$2:$B$6)</f>
        <v>45717</v>
      </c>
      <c r="O420" s="5">
        <f>_xlfn.XLOOKUP(L420,'Campaign Metadata'!$A$2:$A$6,'Campaign Metadata'!$C$2:$C$6)</f>
        <v>45747</v>
      </c>
      <c r="P420" t="str">
        <f t="shared" si="6"/>
        <v>After</v>
      </c>
    </row>
    <row r="421" spans="1:16" x14ac:dyDescent="0.3">
      <c r="A421" t="s">
        <v>196</v>
      </c>
      <c r="B421" s="21" t="s">
        <v>32</v>
      </c>
      <c r="C421" s="5">
        <v>45766</v>
      </c>
      <c r="D421" s="21" t="s">
        <v>26</v>
      </c>
      <c r="E421" s="21" t="s">
        <v>6</v>
      </c>
      <c r="F421" s="22">
        <v>8881</v>
      </c>
      <c r="G421" s="22">
        <v>210</v>
      </c>
      <c r="H421" s="22">
        <v>673</v>
      </c>
      <c r="I421" s="22">
        <v>1565</v>
      </c>
      <c r="J421" s="22">
        <v>24847</v>
      </c>
      <c r="K421" s="22">
        <v>156891</v>
      </c>
      <c r="L421" s="21" t="s">
        <v>60</v>
      </c>
      <c r="M421" s="4">
        <v>6.223429004850501E-2</v>
      </c>
      <c r="N421" s="5">
        <f>_xlfn.XLOOKUP(L421,'Campaign Metadata'!$A$2:$A$6,'Campaign Metadata'!$B$2:$B$6)</f>
        <v>45717</v>
      </c>
      <c r="O421" s="5">
        <f>_xlfn.XLOOKUP(L421,'Campaign Metadata'!$A$2:$A$6,'Campaign Metadata'!$C$2:$C$6)</f>
        <v>45747</v>
      </c>
      <c r="P421" t="str">
        <f t="shared" si="6"/>
        <v>After</v>
      </c>
    </row>
    <row r="422" spans="1:16" x14ac:dyDescent="0.3">
      <c r="A422" t="s">
        <v>254</v>
      </c>
      <c r="B422" s="21" t="s">
        <v>31</v>
      </c>
      <c r="C422" s="5">
        <v>45775</v>
      </c>
      <c r="D422" s="21" t="s">
        <v>25</v>
      </c>
      <c r="E422" s="21" t="s">
        <v>18</v>
      </c>
      <c r="F422" s="22">
        <v>15013</v>
      </c>
      <c r="G422" s="22">
        <v>1286</v>
      </c>
      <c r="H422" s="22">
        <v>599</v>
      </c>
      <c r="I422" s="22">
        <v>2001</v>
      </c>
      <c r="J422" s="22">
        <v>67839</v>
      </c>
      <c r="K422" s="22">
        <v>76059</v>
      </c>
      <c r="L422" s="21" t="s">
        <v>59</v>
      </c>
      <c r="M422" s="4">
        <v>0.22216963147030594</v>
      </c>
      <c r="N422" s="5">
        <f>_xlfn.XLOOKUP(L422,'Campaign Metadata'!$A$2:$A$6,'Campaign Metadata'!$B$2:$B$6)</f>
        <v>45651</v>
      </c>
      <c r="O422" s="5">
        <f>_xlfn.XLOOKUP(L422,'Campaign Metadata'!$A$2:$A$6,'Campaign Metadata'!$C$2:$C$6)</f>
        <v>45667</v>
      </c>
      <c r="P422" t="str">
        <f t="shared" si="6"/>
        <v>After</v>
      </c>
    </row>
    <row r="423" spans="1:16" x14ac:dyDescent="0.3">
      <c r="A423" t="s">
        <v>254</v>
      </c>
      <c r="B423" s="21" t="s">
        <v>31</v>
      </c>
      <c r="C423" s="5">
        <v>45775</v>
      </c>
      <c r="D423" s="21" t="s">
        <v>25</v>
      </c>
      <c r="E423" s="21" t="s">
        <v>15</v>
      </c>
      <c r="F423" s="22">
        <v>15013</v>
      </c>
      <c r="G423" s="22">
        <v>1286</v>
      </c>
      <c r="H423" s="22">
        <v>599</v>
      </c>
      <c r="I423" s="22">
        <v>2001</v>
      </c>
      <c r="J423" s="22">
        <v>67839</v>
      </c>
      <c r="K423" s="22">
        <v>76059</v>
      </c>
      <c r="L423" s="21" t="s">
        <v>59</v>
      </c>
      <c r="M423" s="4">
        <v>0.22216963147030594</v>
      </c>
      <c r="N423" s="5">
        <f>_xlfn.XLOOKUP(L423,'Campaign Metadata'!$A$2:$A$6,'Campaign Metadata'!$B$2:$B$6)</f>
        <v>45651</v>
      </c>
      <c r="O423" s="5">
        <f>_xlfn.XLOOKUP(L423,'Campaign Metadata'!$A$2:$A$6,'Campaign Metadata'!$C$2:$C$6)</f>
        <v>45667</v>
      </c>
      <c r="P423" t="str">
        <f t="shared" si="6"/>
        <v>After</v>
      </c>
    </row>
    <row r="424" spans="1:16" x14ac:dyDescent="0.3">
      <c r="A424" t="s">
        <v>117</v>
      </c>
      <c r="B424" s="21" t="s">
        <v>29</v>
      </c>
      <c r="C424" s="5">
        <v>45775</v>
      </c>
      <c r="D424" s="21" t="s">
        <v>25</v>
      </c>
      <c r="E424" s="21" t="s">
        <v>3</v>
      </c>
      <c r="F424" s="22">
        <v>10659</v>
      </c>
      <c r="G424" s="22">
        <v>1342</v>
      </c>
      <c r="H424" s="22">
        <v>408</v>
      </c>
      <c r="I424" s="22">
        <v>709</v>
      </c>
      <c r="J424" s="22">
        <v>16309</v>
      </c>
      <c r="K424" s="22">
        <v>168803</v>
      </c>
      <c r="L424" s="21" t="s">
        <v>60</v>
      </c>
      <c r="M424" s="4">
        <v>7.3511726687321907E-2</v>
      </c>
      <c r="N424" s="5">
        <f>_xlfn.XLOOKUP(L424,'Campaign Metadata'!$A$2:$A$6,'Campaign Metadata'!$B$2:$B$6)</f>
        <v>45717</v>
      </c>
      <c r="O424" s="5">
        <f>_xlfn.XLOOKUP(L424,'Campaign Metadata'!$A$2:$A$6,'Campaign Metadata'!$C$2:$C$6)</f>
        <v>45747</v>
      </c>
      <c r="P424" t="str">
        <f t="shared" si="6"/>
        <v>After</v>
      </c>
    </row>
    <row r="425" spans="1:16" x14ac:dyDescent="0.3">
      <c r="A425" t="s">
        <v>117</v>
      </c>
      <c r="B425" s="21" t="s">
        <v>29</v>
      </c>
      <c r="C425" s="5">
        <v>45775</v>
      </c>
      <c r="D425" s="21" t="s">
        <v>25</v>
      </c>
      <c r="E425" s="21" t="s">
        <v>13</v>
      </c>
      <c r="F425" s="22">
        <v>10659</v>
      </c>
      <c r="G425" s="22">
        <v>1342</v>
      </c>
      <c r="H425" s="22">
        <v>408</v>
      </c>
      <c r="I425" s="22">
        <v>709</v>
      </c>
      <c r="J425" s="22">
        <v>16309</v>
      </c>
      <c r="K425" s="22">
        <v>168803</v>
      </c>
      <c r="L425" s="21" t="s">
        <v>60</v>
      </c>
      <c r="M425" s="4">
        <v>7.3511726687321907E-2</v>
      </c>
      <c r="N425" s="5">
        <f>_xlfn.XLOOKUP(L425,'Campaign Metadata'!$A$2:$A$6,'Campaign Metadata'!$B$2:$B$6)</f>
        <v>45717</v>
      </c>
      <c r="O425" s="5">
        <f>_xlfn.XLOOKUP(L425,'Campaign Metadata'!$A$2:$A$6,'Campaign Metadata'!$C$2:$C$6)</f>
        <v>45747</v>
      </c>
      <c r="P425" t="str">
        <f t="shared" si="6"/>
        <v>After</v>
      </c>
    </row>
    <row r="426" spans="1:16" x14ac:dyDescent="0.3">
      <c r="A426" t="s">
        <v>219</v>
      </c>
      <c r="B426" s="21" t="s">
        <v>30</v>
      </c>
      <c r="C426" s="5">
        <v>45776</v>
      </c>
      <c r="D426" s="21" t="s">
        <v>25</v>
      </c>
      <c r="E426" s="21" t="s">
        <v>7</v>
      </c>
      <c r="F426" s="22">
        <v>16277</v>
      </c>
      <c r="G426" s="22">
        <v>1109</v>
      </c>
      <c r="H426" s="22">
        <v>375</v>
      </c>
      <c r="I426" s="22">
        <v>2225</v>
      </c>
      <c r="J426" s="22">
        <v>1044</v>
      </c>
      <c r="K426" s="22">
        <v>121889</v>
      </c>
      <c r="L426" s="21" t="s">
        <v>63</v>
      </c>
      <c r="M426" s="4">
        <v>0.14571454356012437</v>
      </c>
      <c r="N426" s="5">
        <f>_xlfn.XLOOKUP(L426,'Campaign Metadata'!$A$2:$A$6,'Campaign Metadata'!$B$2:$B$6)</f>
        <v>45458</v>
      </c>
      <c r="O426" s="5">
        <f>_xlfn.XLOOKUP(L426,'Campaign Metadata'!$A$2:$A$6,'Campaign Metadata'!$C$2:$C$6)</f>
        <v>45488</v>
      </c>
      <c r="P426" t="str">
        <f t="shared" si="6"/>
        <v>After</v>
      </c>
    </row>
    <row r="427" spans="1:16" x14ac:dyDescent="0.3">
      <c r="A427" t="s">
        <v>219</v>
      </c>
      <c r="B427" s="21" t="s">
        <v>30</v>
      </c>
      <c r="C427" s="5">
        <v>45776</v>
      </c>
      <c r="D427" s="21" t="s">
        <v>25</v>
      </c>
      <c r="E427" s="21" t="s">
        <v>9</v>
      </c>
      <c r="F427" s="22">
        <v>16277</v>
      </c>
      <c r="G427" s="22">
        <v>1109</v>
      </c>
      <c r="H427" s="22">
        <v>375</v>
      </c>
      <c r="I427" s="22">
        <v>2225</v>
      </c>
      <c r="J427" s="22">
        <v>1044</v>
      </c>
      <c r="K427" s="22">
        <v>121889</v>
      </c>
      <c r="L427" s="21" t="s">
        <v>63</v>
      </c>
      <c r="M427" s="4">
        <v>0.14571454356012437</v>
      </c>
      <c r="N427" s="5">
        <f>_xlfn.XLOOKUP(L427,'Campaign Metadata'!$A$2:$A$6,'Campaign Metadata'!$B$2:$B$6)</f>
        <v>45458</v>
      </c>
      <c r="O427" s="5">
        <f>_xlfn.XLOOKUP(L427,'Campaign Metadata'!$A$2:$A$6,'Campaign Metadata'!$C$2:$C$6)</f>
        <v>45488</v>
      </c>
      <c r="P427" t="str">
        <f t="shared" si="6"/>
        <v>After</v>
      </c>
    </row>
    <row r="428" spans="1:16" x14ac:dyDescent="0.3">
      <c r="A428" t="s">
        <v>111</v>
      </c>
      <c r="B428" s="21" t="s">
        <v>29</v>
      </c>
      <c r="C428" s="5">
        <v>45778</v>
      </c>
      <c r="D428" s="21" t="s">
        <v>27</v>
      </c>
      <c r="E428" s="21" t="s">
        <v>3</v>
      </c>
      <c r="F428" s="22">
        <v>10258</v>
      </c>
      <c r="G428" s="22">
        <v>527</v>
      </c>
      <c r="H428" s="22">
        <v>854</v>
      </c>
      <c r="I428" s="22">
        <v>2068</v>
      </c>
      <c r="J428" s="22">
        <v>45632</v>
      </c>
      <c r="K428" s="22">
        <v>136546</v>
      </c>
      <c r="L428" s="21" t="s">
        <v>65</v>
      </c>
      <c r="M428" s="4">
        <v>8.5238674146441498E-2</v>
      </c>
      <c r="N428" s="5">
        <f>_xlfn.XLOOKUP(L428,'Campaign Metadata'!$A$2:$A$6,'Campaign Metadata'!$B$2:$B$6)</f>
        <v>45566</v>
      </c>
      <c r="O428" s="5">
        <f>_xlfn.XLOOKUP(L428,'Campaign Metadata'!$A$2:$A$6,'Campaign Metadata'!$C$2:$C$6)</f>
        <v>45596</v>
      </c>
      <c r="P428" t="str">
        <f t="shared" si="6"/>
        <v>After</v>
      </c>
    </row>
    <row r="429" spans="1:16" x14ac:dyDescent="0.3">
      <c r="A429" t="s">
        <v>111</v>
      </c>
      <c r="B429" s="21" t="s">
        <v>29</v>
      </c>
      <c r="C429" s="5">
        <v>45778</v>
      </c>
      <c r="D429" s="21" t="s">
        <v>27</v>
      </c>
      <c r="E429" s="21" t="s">
        <v>14</v>
      </c>
      <c r="F429" s="22">
        <v>10258</v>
      </c>
      <c r="G429" s="22">
        <v>527</v>
      </c>
      <c r="H429" s="22">
        <v>854</v>
      </c>
      <c r="I429" s="22">
        <v>2068</v>
      </c>
      <c r="J429" s="22">
        <v>45632</v>
      </c>
      <c r="K429" s="22">
        <v>136546</v>
      </c>
      <c r="L429" s="21" t="s">
        <v>65</v>
      </c>
      <c r="M429" s="4">
        <v>8.5238674146441498E-2</v>
      </c>
      <c r="N429" s="5">
        <f>_xlfn.XLOOKUP(L429,'Campaign Metadata'!$A$2:$A$6,'Campaign Metadata'!$B$2:$B$6)</f>
        <v>45566</v>
      </c>
      <c r="O429" s="5">
        <f>_xlfn.XLOOKUP(L429,'Campaign Metadata'!$A$2:$A$6,'Campaign Metadata'!$C$2:$C$6)</f>
        <v>45596</v>
      </c>
      <c r="P429" t="str">
        <f t="shared" si="6"/>
        <v>After</v>
      </c>
    </row>
    <row r="430" spans="1:16" x14ac:dyDescent="0.3">
      <c r="A430" t="s">
        <v>64</v>
      </c>
      <c r="B430" s="21" t="s">
        <v>30</v>
      </c>
      <c r="C430" s="5">
        <v>45779</v>
      </c>
      <c r="D430" s="21" t="s">
        <v>27</v>
      </c>
      <c r="E430" s="21" t="s">
        <v>3</v>
      </c>
      <c r="F430" s="22">
        <v>17444</v>
      </c>
      <c r="G430" s="22">
        <v>1402</v>
      </c>
      <c r="H430" s="22">
        <v>218</v>
      </c>
      <c r="I430" s="22">
        <v>725</v>
      </c>
      <c r="J430" s="22">
        <v>8710</v>
      </c>
      <c r="K430" s="22">
        <v>85893</v>
      </c>
      <c r="L430" s="21" t="s">
        <v>65</v>
      </c>
      <c r="M430" s="4">
        <v>0.22195056640238436</v>
      </c>
      <c r="N430" s="5">
        <f>_xlfn.XLOOKUP(L430,'Campaign Metadata'!$A$2:$A$6,'Campaign Metadata'!$B$2:$B$6)</f>
        <v>45566</v>
      </c>
      <c r="O430" s="5">
        <f>_xlfn.XLOOKUP(L430,'Campaign Metadata'!$A$2:$A$6,'Campaign Metadata'!$C$2:$C$6)</f>
        <v>45596</v>
      </c>
      <c r="P430" t="str">
        <f t="shared" si="6"/>
        <v>After</v>
      </c>
    </row>
    <row r="431" spans="1:16" x14ac:dyDescent="0.3">
      <c r="A431" t="s">
        <v>64</v>
      </c>
      <c r="B431" s="21" t="s">
        <v>30</v>
      </c>
      <c r="C431" s="5">
        <v>45779</v>
      </c>
      <c r="D431" s="21" t="s">
        <v>27</v>
      </c>
      <c r="E431" s="21" t="s">
        <v>13</v>
      </c>
      <c r="F431" s="22">
        <v>17444</v>
      </c>
      <c r="G431" s="22">
        <v>1402</v>
      </c>
      <c r="H431" s="22">
        <v>218</v>
      </c>
      <c r="I431" s="22">
        <v>725</v>
      </c>
      <c r="J431" s="22">
        <v>8710</v>
      </c>
      <c r="K431" s="22">
        <v>85893</v>
      </c>
      <c r="L431" s="21" t="s">
        <v>65</v>
      </c>
      <c r="M431" s="4">
        <v>0.22195056640238436</v>
      </c>
      <c r="N431" s="5">
        <f>_xlfn.XLOOKUP(L431,'Campaign Metadata'!$A$2:$A$6,'Campaign Metadata'!$B$2:$B$6)</f>
        <v>45566</v>
      </c>
      <c r="O431" s="5">
        <f>_xlfn.XLOOKUP(L431,'Campaign Metadata'!$A$2:$A$6,'Campaign Metadata'!$C$2:$C$6)</f>
        <v>45596</v>
      </c>
      <c r="P431" t="str">
        <f t="shared" si="6"/>
        <v>After</v>
      </c>
    </row>
    <row r="432" spans="1:16" x14ac:dyDescent="0.3">
      <c r="A432" t="s">
        <v>116</v>
      </c>
      <c r="B432" s="21" t="s">
        <v>30</v>
      </c>
      <c r="C432" s="5">
        <v>45782</v>
      </c>
      <c r="D432" s="21" t="s">
        <v>27</v>
      </c>
      <c r="E432" s="21" t="s">
        <v>3</v>
      </c>
      <c r="F432" s="22">
        <v>10415</v>
      </c>
      <c r="G432" s="22">
        <v>1388</v>
      </c>
      <c r="H432" s="22">
        <v>725</v>
      </c>
      <c r="I432" s="22">
        <v>2462</v>
      </c>
      <c r="J432" s="22">
        <v>53082</v>
      </c>
      <c r="K432" s="22">
        <v>168267</v>
      </c>
      <c r="L432" s="21" t="s">
        <v>65</v>
      </c>
      <c r="M432" s="4">
        <v>7.4453101321114656E-2</v>
      </c>
      <c r="N432" s="5">
        <f>_xlfn.XLOOKUP(L432,'Campaign Metadata'!$A$2:$A$6,'Campaign Metadata'!$B$2:$B$6)</f>
        <v>45566</v>
      </c>
      <c r="O432" s="5">
        <f>_xlfn.XLOOKUP(L432,'Campaign Metadata'!$A$2:$A$6,'Campaign Metadata'!$C$2:$C$6)</f>
        <v>45596</v>
      </c>
      <c r="P432" t="str">
        <f t="shared" si="6"/>
        <v>After</v>
      </c>
    </row>
    <row r="433" spans="1:16" x14ac:dyDescent="0.3">
      <c r="A433" t="s">
        <v>116</v>
      </c>
      <c r="B433" s="21" t="s">
        <v>30</v>
      </c>
      <c r="C433" s="5">
        <v>45782</v>
      </c>
      <c r="D433" s="21" t="s">
        <v>27</v>
      </c>
      <c r="E433" s="21" t="s">
        <v>13</v>
      </c>
      <c r="F433" s="22">
        <v>10415</v>
      </c>
      <c r="G433" s="22">
        <v>1388</v>
      </c>
      <c r="H433" s="22">
        <v>725</v>
      </c>
      <c r="I433" s="22">
        <v>2462</v>
      </c>
      <c r="J433" s="22">
        <v>53082</v>
      </c>
      <c r="K433" s="22">
        <v>168267</v>
      </c>
      <c r="L433" s="21" t="s">
        <v>65</v>
      </c>
      <c r="M433" s="4">
        <v>7.4453101321114656E-2</v>
      </c>
      <c r="N433" s="5">
        <f>_xlfn.XLOOKUP(L433,'Campaign Metadata'!$A$2:$A$6,'Campaign Metadata'!$B$2:$B$6)</f>
        <v>45566</v>
      </c>
      <c r="O433" s="5">
        <f>_xlfn.XLOOKUP(L433,'Campaign Metadata'!$A$2:$A$6,'Campaign Metadata'!$C$2:$C$6)</f>
        <v>45596</v>
      </c>
      <c r="P433" t="str">
        <f t="shared" si="6"/>
        <v>After</v>
      </c>
    </row>
    <row r="434" spans="1:16" x14ac:dyDescent="0.3">
      <c r="A434" t="s">
        <v>287</v>
      </c>
      <c r="B434" s="21" t="s">
        <v>31</v>
      </c>
      <c r="C434" s="5">
        <v>45783</v>
      </c>
      <c r="D434" s="21" t="s">
        <v>25</v>
      </c>
      <c r="E434" s="21" t="s">
        <v>10</v>
      </c>
      <c r="F434" s="22">
        <v>7287</v>
      </c>
      <c r="G434" s="22">
        <v>1240</v>
      </c>
      <c r="H434" s="22">
        <v>686</v>
      </c>
      <c r="I434" s="22">
        <v>1255</v>
      </c>
      <c r="J434" s="22">
        <v>15403</v>
      </c>
      <c r="K434" s="22">
        <v>147971</v>
      </c>
      <c r="L434" s="21" t="s">
        <v>59</v>
      </c>
      <c r="M434" s="4">
        <v>6.2262200025680704E-2</v>
      </c>
      <c r="N434" s="5">
        <f>_xlfn.XLOOKUP(L434,'Campaign Metadata'!$A$2:$A$6,'Campaign Metadata'!$B$2:$B$6)</f>
        <v>45651</v>
      </c>
      <c r="O434" s="5">
        <f>_xlfn.XLOOKUP(L434,'Campaign Metadata'!$A$2:$A$6,'Campaign Metadata'!$C$2:$C$6)</f>
        <v>45667</v>
      </c>
      <c r="P434" t="str">
        <f t="shared" si="6"/>
        <v>After</v>
      </c>
    </row>
    <row r="435" spans="1:16" x14ac:dyDescent="0.3">
      <c r="A435" t="s">
        <v>287</v>
      </c>
      <c r="B435" s="21" t="s">
        <v>31</v>
      </c>
      <c r="C435" s="5">
        <v>45783</v>
      </c>
      <c r="D435" s="21" t="s">
        <v>25</v>
      </c>
      <c r="E435" s="21" t="s">
        <v>8</v>
      </c>
      <c r="F435" s="22">
        <v>7287</v>
      </c>
      <c r="G435" s="22">
        <v>1240</v>
      </c>
      <c r="H435" s="22">
        <v>686</v>
      </c>
      <c r="I435" s="22">
        <v>1255</v>
      </c>
      <c r="J435" s="22">
        <v>15403</v>
      </c>
      <c r="K435" s="22">
        <v>147971</v>
      </c>
      <c r="L435" s="21" t="s">
        <v>59</v>
      </c>
      <c r="M435" s="4">
        <v>6.2262200025680704E-2</v>
      </c>
      <c r="N435" s="5">
        <f>_xlfn.XLOOKUP(L435,'Campaign Metadata'!$A$2:$A$6,'Campaign Metadata'!$B$2:$B$6)</f>
        <v>45651</v>
      </c>
      <c r="O435" s="5">
        <f>_xlfn.XLOOKUP(L435,'Campaign Metadata'!$A$2:$A$6,'Campaign Metadata'!$C$2:$C$6)</f>
        <v>45667</v>
      </c>
      <c r="P435" t="str">
        <f t="shared" si="6"/>
        <v>After</v>
      </c>
    </row>
    <row r="436" spans="1:16" x14ac:dyDescent="0.3">
      <c r="A436" t="s">
        <v>206</v>
      </c>
      <c r="B436" s="21" t="s">
        <v>31</v>
      </c>
      <c r="C436" s="5">
        <v>45786</v>
      </c>
      <c r="D436" s="21" t="s">
        <v>25</v>
      </c>
      <c r="E436" s="21" t="s">
        <v>9</v>
      </c>
      <c r="F436" s="22">
        <v>8988</v>
      </c>
      <c r="G436" s="22">
        <v>228</v>
      </c>
      <c r="H436" s="22">
        <v>766</v>
      </c>
      <c r="I436" s="22">
        <v>652</v>
      </c>
      <c r="J436" s="22">
        <v>63789</v>
      </c>
      <c r="K436" s="22">
        <v>219785</v>
      </c>
      <c r="L436" s="21" t="s">
        <v>60</v>
      </c>
      <c r="M436" s="4">
        <v>4.541711217781013E-2</v>
      </c>
      <c r="N436" s="5">
        <f>_xlfn.XLOOKUP(L436,'Campaign Metadata'!$A$2:$A$6,'Campaign Metadata'!$B$2:$B$6)</f>
        <v>45717</v>
      </c>
      <c r="O436" s="5">
        <f>_xlfn.XLOOKUP(L436,'Campaign Metadata'!$A$2:$A$6,'Campaign Metadata'!$C$2:$C$6)</f>
        <v>45747</v>
      </c>
      <c r="P436" t="str">
        <f t="shared" si="6"/>
        <v>After</v>
      </c>
    </row>
    <row r="437" spans="1:16" x14ac:dyDescent="0.3">
      <c r="A437" t="s">
        <v>206</v>
      </c>
      <c r="B437" s="21" t="s">
        <v>31</v>
      </c>
      <c r="C437" s="5">
        <v>45786</v>
      </c>
      <c r="D437" s="21" t="s">
        <v>25</v>
      </c>
      <c r="E437" s="21" t="s">
        <v>7</v>
      </c>
      <c r="F437" s="22">
        <v>8988</v>
      </c>
      <c r="G437" s="22">
        <v>228</v>
      </c>
      <c r="H437" s="22">
        <v>766</v>
      </c>
      <c r="I437" s="22">
        <v>652</v>
      </c>
      <c r="J437" s="22">
        <v>63789</v>
      </c>
      <c r="K437" s="22">
        <v>219785</v>
      </c>
      <c r="L437" s="21" t="s">
        <v>60</v>
      </c>
      <c r="M437" s="4">
        <v>4.541711217781013E-2</v>
      </c>
      <c r="N437" s="5">
        <f>_xlfn.XLOOKUP(L437,'Campaign Metadata'!$A$2:$A$6,'Campaign Metadata'!$B$2:$B$6)</f>
        <v>45717</v>
      </c>
      <c r="O437" s="5">
        <f>_xlfn.XLOOKUP(L437,'Campaign Metadata'!$A$2:$A$6,'Campaign Metadata'!$C$2:$C$6)</f>
        <v>45747</v>
      </c>
      <c r="P437" t="str">
        <f t="shared" si="6"/>
        <v>After</v>
      </c>
    </row>
    <row r="438" spans="1:16" x14ac:dyDescent="0.3">
      <c r="A438" t="s">
        <v>183</v>
      </c>
      <c r="B438" s="21" t="s">
        <v>29</v>
      </c>
      <c r="C438" s="5">
        <v>45789</v>
      </c>
      <c r="D438" s="21" t="s">
        <v>27</v>
      </c>
      <c r="E438" s="21" t="s">
        <v>1</v>
      </c>
      <c r="F438" s="22">
        <v>19308</v>
      </c>
      <c r="G438" s="22">
        <v>1318</v>
      </c>
      <c r="H438" s="22">
        <v>795</v>
      </c>
      <c r="I438" s="22">
        <v>1499</v>
      </c>
      <c r="J438" s="22">
        <v>52307</v>
      </c>
      <c r="K438" s="22">
        <v>193087</v>
      </c>
      <c r="L438" s="21" t="s">
        <v>60</v>
      </c>
      <c r="M438" s="4">
        <v>0.11093962825047776</v>
      </c>
      <c r="N438" s="5">
        <f>_xlfn.XLOOKUP(L438,'Campaign Metadata'!$A$2:$A$6,'Campaign Metadata'!$B$2:$B$6)</f>
        <v>45717</v>
      </c>
      <c r="O438" s="5">
        <f>_xlfn.XLOOKUP(L438,'Campaign Metadata'!$A$2:$A$6,'Campaign Metadata'!$C$2:$C$6)</f>
        <v>45747</v>
      </c>
      <c r="P438" t="str">
        <f t="shared" si="6"/>
        <v>After</v>
      </c>
    </row>
    <row r="439" spans="1:16" x14ac:dyDescent="0.3">
      <c r="A439" t="s">
        <v>183</v>
      </c>
      <c r="B439" s="21" t="s">
        <v>29</v>
      </c>
      <c r="C439" s="5">
        <v>45789</v>
      </c>
      <c r="D439" s="21" t="s">
        <v>27</v>
      </c>
      <c r="E439" s="21" t="s">
        <v>11</v>
      </c>
      <c r="F439" s="22">
        <v>19308</v>
      </c>
      <c r="G439" s="22">
        <v>1318</v>
      </c>
      <c r="H439" s="22">
        <v>795</v>
      </c>
      <c r="I439" s="22">
        <v>1499</v>
      </c>
      <c r="J439" s="22">
        <v>52307</v>
      </c>
      <c r="K439" s="22">
        <v>193087</v>
      </c>
      <c r="L439" s="21" t="s">
        <v>60</v>
      </c>
      <c r="M439" s="4">
        <v>0.11093962825047776</v>
      </c>
      <c r="N439" s="5">
        <f>_xlfn.XLOOKUP(L439,'Campaign Metadata'!$A$2:$A$6,'Campaign Metadata'!$B$2:$B$6)</f>
        <v>45717</v>
      </c>
      <c r="O439" s="5">
        <f>_xlfn.XLOOKUP(L439,'Campaign Metadata'!$A$2:$A$6,'Campaign Metadata'!$C$2:$C$6)</f>
        <v>45747</v>
      </c>
      <c r="P439" t="str">
        <f t="shared" si="6"/>
        <v>After</v>
      </c>
    </row>
    <row r="440" spans="1:16" x14ac:dyDescent="0.3">
      <c r="A440" t="s">
        <v>128</v>
      </c>
      <c r="B440" s="21" t="s">
        <v>29</v>
      </c>
      <c r="C440" s="5">
        <v>45791</v>
      </c>
      <c r="D440" s="21" t="s">
        <v>26</v>
      </c>
      <c r="E440" s="21" t="s">
        <v>3</v>
      </c>
      <c r="F440" s="22">
        <v>9041</v>
      </c>
      <c r="G440" s="22">
        <v>1133</v>
      </c>
      <c r="H440" s="22">
        <v>612</v>
      </c>
      <c r="I440" s="22">
        <v>1687</v>
      </c>
      <c r="J440" s="22">
        <v>28102</v>
      </c>
      <c r="K440" s="22">
        <v>195683</v>
      </c>
      <c r="L440" s="21" t="s">
        <v>63</v>
      </c>
      <c r="M440" s="4">
        <v>5.5119760020032396E-2</v>
      </c>
      <c r="N440" s="5">
        <f>_xlfn.XLOOKUP(L440,'Campaign Metadata'!$A$2:$A$6,'Campaign Metadata'!$B$2:$B$6)</f>
        <v>45458</v>
      </c>
      <c r="O440" s="5">
        <f>_xlfn.XLOOKUP(L440,'Campaign Metadata'!$A$2:$A$6,'Campaign Metadata'!$C$2:$C$6)</f>
        <v>45488</v>
      </c>
      <c r="P440" t="str">
        <f t="shared" si="6"/>
        <v>After</v>
      </c>
    </row>
    <row r="441" spans="1:16" x14ac:dyDescent="0.3">
      <c r="A441" t="s">
        <v>128</v>
      </c>
      <c r="B441" s="21" t="s">
        <v>29</v>
      </c>
      <c r="C441" s="5">
        <v>45791</v>
      </c>
      <c r="D441" s="21" t="s">
        <v>26</v>
      </c>
      <c r="E441" s="21" t="s">
        <v>13</v>
      </c>
      <c r="F441" s="22">
        <v>9041</v>
      </c>
      <c r="G441" s="22">
        <v>1133</v>
      </c>
      <c r="H441" s="22">
        <v>612</v>
      </c>
      <c r="I441" s="22">
        <v>1687</v>
      </c>
      <c r="J441" s="22">
        <v>28102</v>
      </c>
      <c r="K441" s="22">
        <v>195683</v>
      </c>
      <c r="L441" s="21" t="s">
        <v>63</v>
      </c>
      <c r="M441" s="4">
        <v>5.5119760020032396E-2</v>
      </c>
      <c r="N441" s="5">
        <f>_xlfn.XLOOKUP(L441,'Campaign Metadata'!$A$2:$A$6,'Campaign Metadata'!$B$2:$B$6)</f>
        <v>45458</v>
      </c>
      <c r="O441" s="5">
        <f>_xlfn.XLOOKUP(L441,'Campaign Metadata'!$A$2:$A$6,'Campaign Metadata'!$C$2:$C$6)</f>
        <v>45488</v>
      </c>
      <c r="P441" t="str">
        <f t="shared" si="6"/>
        <v>After</v>
      </c>
    </row>
    <row r="442" spans="1:16" x14ac:dyDescent="0.3">
      <c r="A442" t="s">
        <v>328</v>
      </c>
      <c r="B442" s="21" t="s">
        <v>30</v>
      </c>
      <c r="C442" s="5">
        <v>45903</v>
      </c>
      <c r="D442" s="21" t="s">
        <v>26</v>
      </c>
      <c r="E442" s="21" t="s">
        <v>4</v>
      </c>
      <c r="F442" s="22">
        <v>4779</v>
      </c>
      <c r="G442" s="22">
        <v>1110</v>
      </c>
      <c r="H442" s="22">
        <v>436</v>
      </c>
      <c r="I442" s="22">
        <v>1574</v>
      </c>
      <c r="J442" s="22">
        <v>77167</v>
      </c>
      <c r="K442" s="22">
        <v>71585</v>
      </c>
      <c r="L442" s="21" t="s">
        <v>71</v>
      </c>
      <c r="M442" s="4">
        <v>8.8356499266606131E-2</v>
      </c>
      <c r="N442" s="5">
        <f>_xlfn.XLOOKUP(L442,'Campaign Metadata'!$A$2:$A$6,'Campaign Metadata'!$B$2:$B$6)</f>
        <v>45901</v>
      </c>
      <c r="O442" s="5">
        <f>_xlfn.XLOOKUP(L442,'Campaign Metadata'!$A$2:$A$6,'Campaign Metadata'!$C$2:$C$6)</f>
        <v>45930</v>
      </c>
      <c r="P442" t="str">
        <f t="shared" si="6"/>
        <v>During</v>
      </c>
    </row>
    <row r="443" spans="1:16" x14ac:dyDescent="0.3">
      <c r="A443" t="s">
        <v>328</v>
      </c>
      <c r="B443" s="21" t="s">
        <v>30</v>
      </c>
      <c r="C443" s="5">
        <v>45903</v>
      </c>
      <c r="D443" s="21" t="s">
        <v>26</v>
      </c>
      <c r="E443" s="21" t="s">
        <v>16</v>
      </c>
      <c r="F443" s="22">
        <v>4779</v>
      </c>
      <c r="G443" s="22">
        <v>1110</v>
      </c>
      <c r="H443" s="22">
        <v>436</v>
      </c>
      <c r="I443" s="22">
        <v>1574</v>
      </c>
      <c r="J443" s="22">
        <v>77167</v>
      </c>
      <c r="K443" s="22">
        <v>71585</v>
      </c>
      <c r="L443" s="21" t="s">
        <v>71</v>
      </c>
      <c r="M443" s="4">
        <v>8.8356499266606131E-2</v>
      </c>
      <c r="N443" s="5">
        <f>_xlfn.XLOOKUP(L443,'Campaign Metadata'!$A$2:$A$6,'Campaign Metadata'!$B$2:$B$6)</f>
        <v>45901</v>
      </c>
      <c r="O443" s="5">
        <f>_xlfn.XLOOKUP(L443,'Campaign Metadata'!$A$2:$A$6,'Campaign Metadata'!$C$2:$C$6)</f>
        <v>45930</v>
      </c>
      <c r="P443" t="str">
        <f t="shared" si="6"/>
        <v>During</v>
      </c>
    </row>
    <row r="444" spans="1:16" x14ac:dyDescent="0.3">
      <c r="A444" t="s">
        <v>300</v>
      </c>
      <c r="B444" s="21" t="s">
        <v>32</v>
      </c>
      <c r="C444" s="5">
        <v>45904</v>
      </c>
      <c r="D444" s="21" t="s">
        <v>28</v>
      </c>
      <c r="E444" s="21" t="s">
        <v>10</v>
      </c>
      <c r="F444" s="22">
        <v>21708</v>
      </c>
      <c r="G444" s="22">
        <v>435</v>
      </c>
      <c r="H444" s="22">
        <v>317</v>
      </c>
      <c r="I444" s="22">
        <v>1213</v>
      </c>
      <c r="J444" s="22">
        <v>70701</v>
      </c>
      <c r="K444" s="22">
        <v>83585</v>
      </c>
      <c r="L444" s="21" t="s">
        <v>71</v>
      </c>
      <c r="M444" s="4">
        <v>0.26870850032900639</v>
      </c>
      <c r="N444" s="5">
        <f>_xlfn.XLOOKUP(L444,'Campaign Metadata'!$A$2:$A$6,'Campaign Metadata'!$B$2:$B$6)</f>
        <v>45901</v>
      </c>
      <c r="O444" s="5">
        <f>_xlfn.XLOOKUP(L444,'Campaign Metadata'!$A$2:$A$6,'Campaign Metadata'!$C$2:$C$6)</f>
        <v>45930</v>
      </c>
      <c r="P444" t="str">
        <f t="shared" si="6"/>
        <v>During</v>
      </c>
    </row>
    <row r="445" spans="1:16" x14ac:dyDescent="0.3">
      <c r="A445" t="s">
        <v>300</v>
      </c>
      <c r="B445" s="21" t="s">
        <v>32</v>
      </c>
      <c r="C445" s="5">
        <v>45904</v>
      </c>
      <c r="D445" s="21" t="s">
        <v>28</v>
      </c>
      <c r="E445" s="21" t="s">
        <v>8</v>
      </c>
      <c r="F445" s="22">
        <v>21708</v>
      </c>
      <c r="G445" s="22">
        <v>435</v>
      </c>
      <c r="H445" s="22">
        <v>317</v>
      </c>
      <c r="I445" s="22">
        <v>1213</v>
      </c>
      <c r="J445" s="22">
        <v>70701</v>
      </c>
      <c r="K445" s="22">
        <v>83585</v>
      </c>
      <c r="L445" s="21" t="s">
        <v>71</v>
      </c>
      <c r="M445" s="4">
        <v>0.26870850032900639</v>
      </c>
      <c r="N445" s="5">
        <f>_xlfn.XLOOKUP(L445,'Campaign Metadata'!$A$2:$A$6,'Campaign Metadata'!$B$2:$B$6)</f>
        <v>45901</v>
      </c>
      <c r="O445" s="5">
        <f>_xlfn.XLOOKUP(L445,'Campaign Metadata'!$A$2:$A$6,'Campaign Metadata'!$C$2:$C$6)</f>
        <v>45930</v>
      </c>
      <c r="P445" t="str">
        <f t="shared" si="6"/>
        <v>During</v>
      </c>
    </row>
    <row r="446" spans="1:16" x14ac:dyDescent="0.3">
      <c r="A446" t="s">
        <v>303</v>
      </c>
      <c r="B446" s="21" t="s">
        <v>30</v>
      </c>
      <c r="C446" s="5">
        <v>45905</v>
      </c>
      <c r="D446" s="21" t="s">
        <v>26</v>
      </c>
      <c r="E446" s="21" t="s">
        <v>18</v>
      </c>
      <c r="F446" s="22">
        <v>14677</v>
      </c>
      <c r="G446" s="22">
        <v>533</v>
      </c>
      <c r="H446" s="22">
        <v>759</v>
      </c>
      <c r="I446" s="22">
        <v>753</v>
      </c>
      <c r="J446" s="22">
        <v>23275</v>
      </c>
      <c r="K446" s="22">
        <v>66958</v>
      </c>
      <c r="L446" s="21" t="s">
        <v>71</v>
      </c>
      <c r="M446" s="4">
        <v>0.23849278652289496</v>
      </c>
      <c r="N446" s="5">
        <f>_xlfn.XLOOKUP(L446,'Campaign Metadata'!$A$2:$A$6,'Campaign Metadata'!$B$2:$B$6)</f>
        <v>45901</v>
      </c>
      <c r="O446" s="5">
        <f>_xlfn.XLOOKUP(L446,'Campaign Metadata'!$A$2:$A$6,'Campaign Metadata'!$C$2:$C$6)</f>
        <v>45930</v>
      </c>
      <c r="P446" t="str">
        <f t="shared" si="6"/>
        <v>During</v>
      </c>
    </row>
    <row r="447" spans="1:16" x14ac:dyDescent="0.3">
      <c r="A447" t="s">
        <v>348</v>
      </c>
      <c r="B447" s="21" t="s">
        <v>32</v>
      </c>
      <c r="C447" s="5">
        <v>45906</v>
      </c>
      <c r="D447" s="21" t="s">
        <v>27</v>
      </c>
      <c r="E447" s="21" t="s">
        <v>7</v>
      </c>
      <c r="F447" s="22">
        <v>7124</v>
      </c>
      <c r="G447" s="22">
        <v>469</v>
      </c>
      <c r="H447" s="22">
        <v>851</v>
      </c>
      <c r="I447" s="22">
        <v>2571</v>
      </c>
      <c r="J447" s="22">
        <v>33802</v>
      </c>
      <c r="K447" s="22">
        <v>216313</v>
      </c>
      <c r="L447" s="21" t="s">
        <v>71</v>
      </c>
      <c r="M447" s="4">
        <v>3.9036026498638549E-2</v>
      </c>
      <c r="N447" s="5">
        <f>_xlfn.XLOOKUP(L447,'Campaign Metadata'!$A$2:$A$6,'Campaign Metadata'!$B$2:$B$6)</f>
        <v>45901</v>
      </c>
      <c r="O447" s="5">
        <f>_xlfn.XLOOKUP(L447,'Campaign Metadata'!$A$2:$A$6,'Campaign Metadata'!$C$2:$C$6)</f>
        <v>45930</v>
      </c>
      <c r="P447" t="str">
        <f t="shared" si="6"/>
        <v>During</v>
      </c>
    </row>
    <row r="448" spans="1:16" x14ac:dyDescent="0.3">
      <c r="A448" t="s">
        <v>348</v>
      </c>
      <c r="B448" s="21" t="s">
        <v>32</v>
      </c>
      <c r="C448" s="5">
        <v>45906</v>
      </c>
      <c r="D448" s="21" t="s">
        <v>27</v>
      </c>
      <c r="E448" s="21" t="s">
        <v>9</v>
      </c>
      <c r="F448" s="22">
        <v>7124</v>
      </c>
      <c r="G448" s="22">
        <v>469</v>
      </c>
      <c r="H448" s="22">
        <v>851</v>
      </c>
      <c r="I448" s="22">
        <v>2571</v>
      </c>
      <c r="J448" s="22">
        <v>33802</v>
      </c>
      <c r="K448" s="22">
        <v>216313</v>
      </c>
      <c r="L448" s="21" t="s">
        <v>71</v>
      </c>
      <c r="M448" s="4">
        <v>3.9036026498638549E-2</v>
      </c>
      <c r="N448" s="5">
        <f>_xlfn.XLOOKUP(L448,'Campaign Metadata'!$A$2:$A$6,'Campaign Metadata'!$B$2:$B$6)</f>
        <v>45901</v>
      </c>
      <c r="O448" s="5">
        <f>_xlfn.XLOOKUP(L448,'Campaign Metadata'!$A$2:$A$6,'Campaign Metadata'!$C$2:$C$6)</f>
        <v>45930</v>
      </c>
      <c r="P448" t="str">
        <f t="shared" si="6"/>
        <v>During</v>
      </c>
    </row>
    <row r="449" spans="1:16" x14ac:dyDescent="0.3">
      <c r="A449" t="s">
        <v>342</v>
      </c>
      <c r="B449" s="21" t="s">
        <v>30</v>
      </c>
      <c r="C449" s="5">
        <v>45907</v>
      </c>
      <c r="D449" s="21" t="s">
        <v>27</v>
      </c>
      <c r="E449" s="21" t="s">
        <v>1</v>
      </c>
      <c r="F449" s="22">
        <v>3015</v>
      </c>
      <c r="G449" s="22">
        <v>997</v>
      </c>
      <c r="H449" s="22">
        <v>783</v>
      </c>
      <c r="I449" s="22">
        <v>617</v>
      </c>
      <c r="J449" s="22">
        <v>77167</v>
      </c>
      <c r="K449" s="22">
        <v>82229</v>
      </c>
      <c r="L449" s="21" t="s">
        <v>71</v>
      </c>
      <c r="M449" s="4">
        <v>5.8312760704860814E-2</v>
      </c>
      <c r="N449" s="5">
        <f>_xlfn.XLOOKUP(L449,'Campaign Metadata'!$A$2:$A$6,'Campaign Metadata'!$B$2:$B$6)</f>
        <v>45901</v>
      </c>
      <c r="O449" s="5">
        <f>_xlfn.XLOOKUP(L449,'Campaign Metadata'!$A$2:$A$6,'Campaign Metadata'!$C$2:$C$6)</f>
        <v>45930</v>
      </c>
      <c r="P449" t="str">
        <f t="shared" si="6"/>
        <v>During</v>
      </c>
    </row>
    <row r="450" spans="1:16" x14ac:dyDescent="0.3">
      <c r="A450" t="s">
        <v>342</v>
      </c>
      <c r="B450" s="21" t="s">
        <v>30</v>
      </c>
      <c r="C450" s="5">
        <v>45907</v>
      </c>
      <c r="D450" s="21" t="s">
        <v>27</v>
      </c>
      <c r="E450" s="21" t="s">
        <v>11</v>
      </c>
      <c r="F450" s="22">
        <v>3015</v>
      </c>
      <c r="G450" s="22">
        <v>997</v>
      </c>
      <c r="H450" s="22">
        <v>783</v>
      </c>
      <c r="I450" s="22">
        <v>617</v>
      </c>
      <c r="J450" s="22">
        <v>77167</v>
      </c>
      <c r="K450" s="22">
        <v>82229</v>
      </c>
      <c r="L450" s="21" t="s">
        <v>71</v>
      </c>
      <c r="M450" s="4">
        <v>5.8312760704860814E-2</v>
      </c>
      <c r="N450" s="5">
        <f>_xlfn.XLOOKUP(L450,'Campaign Metadata'!$A$2:$A$6,'Campaign Metadata'!$B$2:$B$6)</f>
        <v>45901</v>
      </c>
      <c r="O450" s="5">
        <f>_xlfn.XLOOKUP(L450,'Campaign Metadata'!$A$2:$A$6,'Campaign Metadata'!$C$2:$C$6)</f>
        <v>45930</v>
      </c>
      <c r="P450" t="str">
        <f t="shared" si="6"/>
        <v>During</v>
      </c>
    </row>
    <row r="451" spans="1:16" x14ac:dyDescent="0.3">
      <c r="A451" t="s">
        <v>313</v>
      </c>
      <c r="B451" s="21" t="s">
        <v>30</v>
      </c>
      <c r="C451" s="5">
        <v>45907</v>
      </c>
      <c r="D451" s="21" t="s">
        <v>27</v>
      </c>
      <c r="E451" s="21" t="s">
        <v>19</v>
      </c>
      <c r="F451" s="22">
        <v>4472</v>
      </c>
      <c r="G451" s="22">
        <v>1301</v>
      </c>
      <c r="H451" s="22">
        <v>956</v>
      </c>
      <c r="I451" s="22">
        <v>1186</v>
      </c>
      <c r="J451" s="22">
        <v>3363</v>
      </c>
      <c r="K451" s="22">
        <v>46471</v>
      </c>
      <c r="L451" s="21" t="s">
        <v>71</v>
      </c>
      <c r="M451" s="4">
        <v>0.14479998278496267</v>
      </c>
      <c r="N451" s="5">
        <f>_xlfn.XLOOKUP(L451,'Campaign Metadata'!$A$2:$A$6,'Campaign Metadata'!$B$2:$B$6)</f>
        <v>45901</v>
      </c>
      <c r="O451" s="5">
        <f>_xlfn.XLOOKUP(L451,'Campaign Metadata'!$A$2:$A$6,'Campaign Metadata'!$C$2:$C$6)</f>
        <v>45930</v>
      </c>
      <c r="P451" t="str">
        <f t="shared" ref="P451:P514" si="7">IF(C451&lt;N451, "Before", IF(C451&gt;O451, "After", "During"))</f>
        <v>During</v>
      </c>
    </row>
    <row r="452" spans="1:16" x14ac:dyDescent="0.3">
      <c r="A452" t="s">
        <v>313</v>
      </c>
      <c r="B452" s="21" t="s">
        <v>30</v>
      </c>
      <c r="C452" s="5">
        <v>45907</v>
      </c>
      <c r="D452" s="21" t="s">
        <v>27</v>
      </c>
      <c r="E452" s="21" t="s">
        <v>2</v>
      </c>
      <c r="F452" s="22">
        <v>4472</v>
      </c>
      <c r="G452" s="22">
        <v>1301</v>
      </c>
      <c r="H452" s="22">
        <v>956</v>
      </c>
      <c r="I452" s="22">
        <v>1186</v>
      </c>
      <c r="J452" s="22">
        <v>3363</v>
      </c>
      <c r="K452" s="22">
        <v>46471</v>
      </c>
      <c r="L452" s="21" t="s">
        <v>71</v>
      </c>
      <c r="M452" s="4">
        <v>0.14479998278496267</v>
      </c>
      <c r="N452" s="5">
        <f>_xlfn.XLOOKUP(L452,'Campaign Metadata'!$A$2:$A$6,'Campaign Metadata'!$B$2:$B$6)</f>
        <v>45901</v>
      </c>
      <c r="O452" s="5">
        <f>_xlfn.XLOOKUP(L452,'Campaign Metadata'!$A$2:$A$6,'Campaign Metadata'!$C$2:$C$6)</f>
        <v>45930</v>
      </c>
      <c r="P452" t="str">
        <f t="shared" si="7"/>
        <v>During</v>
      </c>
    </row>
    <row r="453" spans="1:16" x14ac:dyDescent="0.3">
      <c r="A453" t="s">
        <v>301</v>
      </c>
      <c r="B453" s="21" t="s">
        <v>31</v>
      </c>
      <c r="C453" s="5">
        <v>45908</v>
      </c>
      <c r="D453" s="21" t="s">
        <v>25</v>
      </c>
      <c r="E453" s="21" t="s">
        <v>15</v>
      </c>
      <c r="F453" s="22">
        <v>22309</v>
      </c>
      <c r="G453" s="22">
        <v>773</v>
      </c>
      <c r="H453" s="22">
        <v>854</v>
      </c>
      <c r="I453" s="22">
        <v>2387</v>
      </c>
      <c r="J453" s="22">
        <v>72396</v>
      </c>
      <c r="K453" s="22">
        <v>97056</v>
      </c>
      <c r="L453" s="21" t="s">
        <v>71</v>
      </c>
      <c r="M453" s="4">
        <v>0.24662050774810418</v>
      </c>
      <c r="N453" s="5">
        <f>_xlfn.XLOOKUP(L453,'Campaign Metadata'!$A$2:$A$6,'Campaign Metadata'!$B$2:$B$6)</f>
        <v>45901</v>
      </c>
      <c r="O453" s="5">
        <f>_xlfn.XLOOKUP(L453,'Campaign Metadata'!$A$2:$A$6,'Campaign Metadata'!$C$2:$C$6)</f>
        <v>45930</v>
      </c>
      <c r="P453" t="str">
        <f t="shared" si="7"/>
        <v>During</v>
      </c>
    </row>
    <row r="454" spans="1:16" x14ac:dyDescent="0.3">
      <c r="A454" t="s">
        <v>301</v>
      </c>
      <c r="B454" s="21" t="s">
        <v>31</v>
      </c>
      <c r="C454" s="5">
        <v>45908</v>
      </c>
      <c r="D454" s="21" t="s">
        <v>25</v>
      </c>
      <c r="E454" s="21" t="s">
        <v>18</v>
      </c>
      <c r="F454" s="22">
        <v>22309</v>
      </c>
      <c r="G454" s="22">
        <v>773</v>
      </c>
      <c r="H454" s="22">
        <v>854</v>
      </c>
      <c r="I454" s="22">
        <v>2387</v>
      </c>
      <c r="J454" s="22">
        <v>72396</v>
      </c>
      <c r="K454" s="22">
        <v>97056</v>
      </c>
      <c r="L454" s="21" t="s">
        <v>71</v>
      </c>
      <c r="M454" s="4">
        <v>0.24662050774810418</v>
      </c>
      <c r="N454" s="5">
        <f>_xlfn.XLOOKUP(L454,'Campaign Metadata'!$A$2:$A$6,'Campaign Metadata'!$B$2:$B$6)</f>
        <v>45901</v>
      </c>
      <c r="O454" s="5">
        <f>_xlfn.XLOOKUP(L454,'Campaign Metadata'!$A$2:$A$6,'Campaign Metadata'!$C$2:$C$6)</f>
        <v>45930</v>
      </c>
      <c r="P454" t="str">
        <f t="shared" si="7"/>
        <v>During</v>
      </c>
    </row>
    <row r="455" spans="1:16" x14ac:dyDescent="0.3">
      <c r="A455" t="s">
        <v>39</v>
      </c>
      <c r="B455" s="21" t="s">
        <v>31</v>
      </c>
      <c r="C455" s="5">
        <v>45908</v>
      </c>
      <c r="D455" s="21" t="s">
        <v>27</v>
      </c>
      <c r="E455" s="21" t="s">
        <v>9</v>
      </c>
      <c r="F455" s="22">
        <v>23785</v>
      </c>
      <c r="G455" s="22">
        <v>1013</v>
      </c>
      <c r="H455" s="22">
        <v>468</v>
      </c>
      <c r="I455" s="22">
        <v>1628</v>
      </c>
      <c r="J455" s="22">
        <v>8272</v>
      </c>
      <c r="K455" s="22">
        <v>71348</v>
      </c>
      <c r="L455" s="21" t="s">
        <v>71</v>
      </c>
      <c r="M455" s="4">
        <v>0.35412345125301342</v>
      </c>
      <c r="N455" s="5">
        <f>_xlfn.XLOOKUP(L455,'Campaign Metadata'!$A$2:$A$6,'Campaign Metadata'!$B$2:$B$6)</f>
        <v>45901</v>
      </c>
      <c r="O455" s="5">
        <f>_xlfn.XLOOKUP(L455,'Campaign Metadata'!$A$2:$A$6,'Campaign Metadata'!$C$2:$C$6)</f>
        <v>45930</v>
      </c>
      <c r="P455" t="str">
        <f t="shared" si="7"/>
        <v>During</v>
      </c>
    </row>
    <row r="456" spans="1:16" x14ac:dyDescent="0.3">
      <c r="A456" t="s">
        <v>39</v>
      </c>
      <c r="B456" s="21" t="s">
        <v>31</v>
      </c>
      <c r="C456" s="5">
        <v>45908</v>
      </c>
      <c r="D456" s="21" t="s">
        <v>27</v>
      </c>
      <c r="E456" s="21" t="s">
        <v>7</v>
      </c>
      <c r="F456" s="22">
        <v>23785</v>
      </c>
      <c r="G456" s="22">
        <v>1013</v>
      </c>
      <c r="H456" s="22">
        <v>468</v>
      </c>
      <c r="I456" s="22">
        <v>1628</v>
      </c>
      <c r="J456" s="22">
        <v>8272</v>
      </c>
      <c r="K456" s="22">
        <v>71348</v>
      </c>
      <c r="L456" s="21" t="s">
        <v>71</v>
      </c>
      <c r="M456" s="4">
        <v>0.35412345125301342</v>
      </c>
      <c r="N456" s="5">
        <f>_xlfn.XLOOKUP(L456,'Campaign Metadata'!$A$2:$A$6,'Campaign Metadata'!$B$2:$B$6)</f>
        <v>45901</v>
      </c>
      <c r="O456" s="5">
        <f>_xlfn.XLOOKUP(L456,'Campaign Metadata'!$A$2:$A$6,'Campaign Metadata'!$C$2:$C$6)</f>
        <v>45930</v>
      </c>
      <c r="P456" t="str">
        <f t="shared" si="7"/>
        <v>During</v>
      </c>
    </row>
    <row r="457" spans="1:16" x14ac:dyDescent="0.3">
      <c r="A457" t="s">
        <v>331</v>
      </c>
      <c r="B457" s="21" t="s">
        <v>30</v>
      </c>
      <c r="C457" s="5">
        <v>45909</v>
      </c>
      <c r="D457" s="21" t="s">
        <v>28</v>
      </c>
      <c r="E457" s="21" t="s">
        <v>7</v>
      </c>
      <c r="F457" s="22">
        <v>15772</v>
      </c>
      <c r="G457" s="22">
        <v>288</v>
      </c>
      <c r="H457" s="22">
        <v>520</v>
      </c>
      <c r="I457" s="22">
        <v>1585</v>
      </c>
      <c r="J457" s="22">
        <v>59182</v>
      </c>
      <c r="K457" s="22">
        <v>194351</v>
      </c>
      <c r="L457" s="21" t="s">
        <v>71</v>
      </c>
      <c r="M457" s="4">
        <v>8.5309568769905988E-2</v>
      </c>
      <c r="N457" s="5">
        <f>_xlfn.XLOOKUP(L457,'Campaign Metadata'!$A$2:$A$6,'Campaign Metadata'!$B$2:$B$6)</f>
        <v>45901</v>
      </c>
      <c r="O457" s="5">
        <f>_xlfn.XLOOKUP(L457,'Campaign Metadata'!$A$2:$A$6,'Campaign Metadata'!$C$2:$C$6)</f>
        <v>45930</v>
      </c>
      <c r="P457" t="str">
        <f t="shared" si="7"/>
        <v>During</v>
      </c>
    </row>
    <row r="458" spans="1:16" x14ac:dyDescent="0.3">
      <c r="A458" t="s">
        <v>331</v>
      </c>
      <c r="B458" s="21" t="s">
        <v>30</v>
      </c>
      <c r="C458" s="5">
        <v>45909</v>
      </c>
      <c r="D458" s="21" t="s">
        <v>28</v>
      </c>
      <c r="E458" s="21" t="s">
        <v>9</v>
      </c>
      <c r="F458" s="22">
        <v>15772</v>
      </c>
      <c r="G458" s="22">
        <v>288</v>
      </c>
      <c r="H458" s="22">
        <v>520</v>
      </c>
      <c r="I458" s="22">
        <v>1585</v>
      </c>
      <c r="J458" s="22">
        <v>59182</v>
      </c>
      <c r="K458" s="22">
        <v>194351</v>
      </c>
      <c r="L458" s="21" t="s">
        <v>71</v>
      </c>
      <c r="M458" s="4">
        <v>8.5309568769905988E-2</v>
      </c>
      <c r="N458" s="5">
        <f>_xlfn.XLOOKUP(L458,'Campaign Metadata'!$A$2:$A$6,'Campaign Metadata'!$B$2:$B$6)</f>
        <v>45901</v>
      </c>
      <c r="O458" s="5">
        <f>_xlfn.XLOOKUP(L458,'Campaign Metadata'!$A$2:$A$6,'Campaign Metadata'!$C$2:$C$6)</f>
        <v>45930</v>
      </c>
      <c r="P458" t="str">
        <f t="shared" si="7"/>
        <v>During</v>
      </c>
    </row>
    <row r="459" spans="1:16" x14ac:dyDescent="0.3">
      <c r="A459" t="s">
        <v>40</v>
      </c>
      <c r="B459" s="21" t="s">
        <v>31</v>
      </c>
      <c r="C459" s="5">
        <v>45909</v>
      </c>
      <c r="D459" s="21" t="s">
        <v>26</v>
      </c>
      <c r="E459" s="21" t="s">
        <v>6</v>
      </c>
      <c r="F459" s="22">
        <v>19260</v>
      </c>
      <c r="G459" s="22">
        <v>668</v>
      </c>
      <c r="H459" s="22">
        <v>994</v>
      </c>
      <c r="I459" s="22">
        <v>934</v>
      </c>
      <c r="J459" s="22">
        <v>20509</v>
      </c>
      <c r="K459" s="22">
        <v>61636</v>
      </c>
      <c r="L459" s="21" t="s">
        <v>71</v>
      </c>
      <c r="M459" s="4">
        <v>0.33944448049841003</v>
      </c>
      <c r="N459" s="5">
        <f>_xlfn.XLOOKUP(L459,'Campaign Metadata'!$A$2:$A$6,'Campaign Metadata'!$B$2:$B$6)</f>
        <v>45901</v>
      </c>
      <c r="O459" s="5">
        <f>_xlfn.XLOOKUP(L459,'Campaign Metadata'!$A$2:$A$6,'Campaign Metadata'!$C$2:$C$6)</f>
        <v>45930</v>
      </c>
      <c r="P459" t="str">
        <f t="shared" si="7"/>
        <v>During</v>
      </c>
    </row>
    <row r="460" spans="1:16" x14ac:dyDescent="0.3">
      <c r="A460" t="s">
        <v>40</v>
      </c>
      <c r="B460" s="21" t="s">
        <v>31</v>
      </c>
      <c r="C460" s="5">
        <v>45909</v>
      </c>
      <c r="D460" s="21" t="s">
        <v>26</v>
      </c>
      <c r="E460" s="21" t="s">
        <v>5</v>
      </c>
      <c r="F460" s="22">
        <v>19260</v>
      </c>
      <c r="G460" s="22">
        <v>668</v>
      </c>
      <c r="H460" s="22">
        <v>994</v>
      </c>
      <c r="I460" s="22">
        <v>934</v>
      </c>
      <c r="J460" s="22">
        <v>20509</v>
      </c>
      <c r="K460" s="22">
        <v>61636</v>
      </c>
      <c r="L460" s="21" t="s">
        <v>71</v>
      </c>
      <c r="M460" s="4">
        <v>0.33944448049841003</v>
      </c>
      <c r="N460" s="5">
        <f>_xlfn.XLOOKUP(L460,'Campaign Metadata'!$A$2:$A$6,'Campaign Metadata'!$B$2:$B$6)</f>
        <v>45901</v>
      </c>
      <c r="O460" s="5">
        <f>_xlfn.XLOOKUP(L460,'Campaign Metadata'!$A$2:$A$6,'Campaign Metadata'!$C$2:$C$6)</f>
        <v>45930</v>
      </c>
      <c r="P460" t="str">
        <f t="shared" si="7"/>
        <v>During</v>
      </c>
    </row>
    <row r="461" spans="1:16" x14ac:dyDescent="0.3">
      <c r="A461" t="s">
        <v>329</v>
      </c>
      <c r="B461" s="21" t="s">
        <v>30</v>
      </c>
      <c r="C461" s="5">
        <v>45910</v>
      </c>
      <c r="D461" s="21" t="s">
        <v>25</v>
      </c>
      <c r="E461" s="21" t="s">
        <v>17</v>
      </c>
      <c r="F461" s="22">
        <v>9266</v>
      </c>
      <c r="G461" s="22">
        <v>999</v>
      </c>
      <c r="H461" s="22">
        <v>928</v>
      </c>
      <c r="I461" s="22">
        <v>2700</v>
      </c>
      <c r="J461" s="22">
        <v>12264</v>
      </c>
      <c r="K461" s="22">
        <v>128397</v>
      </c>
      <c r="L461" s="21" t="s">
        <v>71</v>
      </c>
      <c r="M461" s="4">
        <v>8.7174933993784898E-2</v>
      </c>
      <c r="N461" s="5">
        <f>_xlfn.XLOOKUP(L461,'Campaign Metadata'!$A$2:$A$6,'Campaign Metadata'!$B$2:$B$6)</f>
        <v>45901</v>
      </c>
      <c r="O461" s="5">
        <f>_xlfn.XLOOKUP(L461,'Campaign Metadata'!$A$2:$A$6,'Campaign Metadata'!$C$2:$C$6)</f>
        <v>45930</v>
      </c>
      <c r="P461" t="str">
        <f t="shared" si="7"/>
        <v>During</v>
      </c>
    </row>
    <row r="462" spans="1:16" x14ac:dyDescent="0.3">
      <c r="A462" t="s">
        <v>336</v>
      </c>
      <c r="B462" s="21" t="s">
        <v>32</v>
      </c>
      <c r="C462" s="5">
        <v>45910</v>
      </c>
      <c r="D462" s="21" t="s">
        <v>26</v>
      </c>
      <c r="E462" s="21" t="s">
        <v>16</v>
      </c>
      <c r="F462" s="22">
        <v>13613</v>
      </c>
      <c r="G462" s="22">
        <v>350</v>
      </c>
      <c r="H462" s="22">
        <v>809</v>
      </c>
      <c r="I462" s="22">
        <v>2013</v>
      </c>
      <c r="J462" s="22">
        <v>20471</v>
      </c>
      <c r="K462" s="22">
        <v>198038</v>
      </c>
      <c r="L462" s="21" t="s">
        <v>71</v>
      </c>
      <c r="M462" s="4">
        <v>7.4591745018632791E-2</v>
      </c>
      <c r="N462" s="5">
        <f>_xlfn.XLOOKUP(L462,'Campaign Metadata'!$A$2:$A$6,'Campaign Metadata'!$B$2:$B$6)</f>
        <v>45901</v>
      </c>
      <c r="O462" s="5">
        <f>_xlfn.XLOOKUP(L462,'Campaign Metadata'!$A$2:$A$6,'Campaign Metadata'!$C$2:$C$6)</f>
        <v>45930</v>
      </c>
      <c r="P462" t="str">
        <f t="shared" si="7"/>
        <v>During</v>
      </c>
    </row>
    <row r="463" spans="1:16" x14ac:dyDescent="0.3">
      <c r="A463" t="s">
        <v>336</v>
      </c>
      <c r="B463" s="21" t="s">
        <v>32</v>
      </c>
      <c r="C463" s="5">
        <v>45910</v>
      </c>
      <c r="D463" s="21" t="s">
        <v>26</v>
      </c>
      <c r="E463" s="21" t="s">
        <v>4</v>
      </c>
      <c r="F463" s="22">
        <v>13613</v>
      </c>
      <c r="G463" s="22">
        <v>350</v>
      </c>
      <c r="H463" s="22">
        <v>809</v>
      </c>
      <c r="I463" s="22">
        <v>2013</v>
      </c>
      <c r="J463" s="22">
        <v>20471</v>
      </c>
      <c r="K463" s="22">
        <v>198038</v>
      </c>
      <c r="L463" s="21" t="s">
        <v>71</v>
      </c>
      <c r="M463" s="4">
        <v>7.4591745018632791E-2</v>
      </c>
      <c r="N463" s="5">
        <f>_xlfn.XLOOKUP(L463,'Campaign Metadata'!$A$2:$A$6,'Campaign Metadata'!$B$2:$B$6)</f>
        <v>45901</v>
      </c>
      <c r="O463" s="5">
        <f>_xlfn.XLOOKUP(L463,'Campaign Metadata'!$A$2:$A$6,'Campaign Metadata'!$C$2:$C$6)</f>
        <v>45930</v>
      </c>
      <c r="P463" t="str">
        <f t="shared" si="7"/>
        <v>During</v>
      </c>
    </row>
    <row r="464" spans="1:16" x14ac:dyDescent="0.3">
      <c r="A464" t="s">
        <v>98</v>
      </c>
      <c r="B464" s="21" t="s">
        <v>30</v>
      </c>
      <c r="C464" s="5">
        <v>45911</v>
      </c>
      <c r="D464" s="21" t="s">
        <v>25</v>
      </c>
      <c r="E464" s="21" t="s">
        <v>3</v>
      </c>
      <c r="F464" s="22">
        <v>10175</v>
      </c>
      <c r="G464" s="22">
        <v>342</v>
      </c>
      <c r="H464" s="22">
        <v>825</v>
      </c>
      <c r="I464" s="22">
        <v>2904</v>
      </c>
      <c r="J464" s="22">
        <v>15954</v>
      </c>
      <c r="K464" s="22">
        <v>104324</v>
      </c>
      <c r="L464" s="21" t="s">
        <v>71</v>
      </c>
      <c r="M464" s="4">
        <v>0.10871899083624094</v>
      </c>
      <c r="N464" s="5">
        <f>_xlfn.XLOOKUP(L464,'Campaign Metadata'!$A$2:$A$6,'Campaign Metadata'!$B$2:$B$6)</f>
        <v>45901</v>
      </c>
      <c r="O464" s="5">
        <f>_xlfn.XLOOKUP(L464,'Campaign Metadata'!$A$2:$A$6,'Campaign Metadata'!$C$2:$C$6)</f>
        <v>45930</v>
      </c>
      <c r="P464" t="str">
        <f t="shared" si="7"/>
        <v>During</v>
      </c>
    </row>
    <row r="465" spans="1:16" x14ac:dyDescent="0.3">
      <c r="A465" t="s">
        <v>98</v>
      </c>
      <c r="B465" s="21" t="s">
        <v>30</v>
      </c>
      <c r="C465" s="5">
        <v>45911</v>
      </c>
      <c r="D465" s="21" t="s">
        <v>25</v>
      </c>
      <c r="E465" s="21" t="s">
        <v>14</v>
      </c>
      <c r="F465" s="22">
        <v>10175</v>
      </c>
      <c r="G465" s="22">
        <v>342</v>
      </c>
      <c r="H465" s="22">
        <v>825</v>
      </c>
      <c r="I465" s="22">
        <v>2904</v>
      </c>
      <c r="J465" s="22">
        <v>15954</v>
      </c>
      <c r="K465" s="22">
        <v>104324</v>
      </c>
      <c r="L465" s="21" t="s">
        <v>71</v>
      </c>
      <c r="M465" s="4">
        <v>0.10871899083624094</v>
      </c>
      <c r="N465" s="5">
        <f>_xlfn.XLOOKUP(L465,'Campaign Metadata'!$A$2:$A$6,'Campaign Metadata'!$B$2:$B$6)</f>
        <v>45901</v>
      </c>
      <c r="O465" s="5">
        <f>_xlfn.XLOOKUP(L465,'Campaign Metadata'!$A$2:$A$6,'Campaign Metadata'!$C$2:$C$6)</f>
        <v>45930</v>
      </c>
      <c r="P465" t="str">
        <f t="shared" si="7"/>
        <v>During</v>
      </c>
    </row>
    <row r="466" spans="1:16" x14ac:dyDescent="0.3">
      <c r="A466" t="s">
        <v>323</v>
      </c>
      <c r="B466" s="21" t="s">
        <v>30</v>
      </c>
      <c r="C466" s="5">
        <v>45911</v>
      </c>
      <c r="D466" s="21" t="s">
        <v>28</v>
      </c>
      <c r="E466" s="21" t="s">
        <v>6</v>
      </c>
      <c r="F466" s="22">
        <v>21901</v>
      </c>
      <c r="G466" s="22">
        <v>1308</v>
      </c>
      <c r="H466" s="22">
        <v>724</v>
      </c>
      <c r="I466" s="22">
        <v>2183</v>
      </c>
      <c r="J466" s="22">
        <v>15996</v>
      </c>
      <c r="K466" s="22">
        <v>230961</v>
      </c>
      <c r="L466" s="21" t="s">
        <v>71</v>
      </c>
      <c r="M466" s="4">
        <v>0.10362355549205277</v>
      </c>
      <c r="N466" s="5">
        <f>_xlfn.XLOOKUP(L466,'Campaign Metadata'!$A$2:$A$6,'Campaign Metadata'!$B$2:$B$6)</f>
        <v>45901</v>
      </c>
      <c r="O466" s="5">
        <f>_xlfn.XLOOKUP(L466,'Campaign Metadata'!$A$2:$A$6,'Campaign Metadata'!$C$2:$C$6)</f>
        <v>45930</v>
      </c>
      <c r="P466" t="str">
        <f t="shared" si="7"/>
        <v>During</v>
      </c>
    </row>
    <row r="467" spans="1:16" x14ac:dyDescent="0.3">
      <c r="A467" t="s">
        <v>323</v>
      </c>
      <c r="B467" s="21" t="s">
        <v>30</v>
      </c>
      <c r="C467" s="5">
        <v>45911</v>
      </c>
      <c r="D467" s="21" t="s">
        <v>28</v>
      </c>
      <c r="E467" s="21" t="s">
        <v>5</v>
      </c>
      <c r="F467" s="22">
        <v>21901</v>
      </c>
      <c r="G467" s="22">
        <v>1308</v>
      </c>
      <c r="H467" s="22">
        <v>724</v>
      </c>
      <c r="I467" s="22">
        <v>2183</v>
      </c>
      <c r="J467" s="22">
        <v>15996</v>
      </c>
      <c r="K467" s="22">
        <v>230961</v>
      </c>
      <c r="L467" s="21" t="s">
        <v>71</v>
      </c>
      <c r="M467" s="4">
        <v>0.10362355549205277</v>
      </c>
      <c r="N467" s="5">
        <f>_xlfn.XLOOKUP(L467,'Campaign Metadata'!$A$2:$A$6,'Campaign Metadata'!$B$2:$B$6)</f>
        <v>45901</v>
      </c>
      <c r="O467" s="5">
        <f>_xlfn.XLOOKUP(L467,'Campaign Metadata'!$A$2:$A$6,'Campaign Metadata'!$C$2:$C$6)</f>
        <v>45930</v>
      </c>
      <c r="P467" t="str">
        <f t="shared" si="7"/>
        <v>During</v>
      </c>
    </row>
    <row r="468" spans="1:16" x14ac:dyDescent="0.3">
      <c r="A468" t="s">
        <v>330</v>
      </c>
      <c r="B468" s="21" t="s">
        <v>31</v>
      </c>
      <c r="C468" s="5">
        <v>45912</v>
      </c>
      <c r="D468" s="21" t="s">
        <v>27</v>
      </c>
      <c r="E468" s="21" t="s">
        <v>1</v>
      </c>
      <c r="F468" s="22">
        <v>17158</v>
      </c>
      <c r="G468" s="22">
        <v>1192</v>
      </c>
      <c r="H468" s="22">
        <v>262</v>
      </c>
      <c r="I468" s="22">
        <v>2016</v>
      </c>
      <c r="J468" s="22">
        <v>28771</v>
      </c>
      <c r="K468" s="22">
        <v>216037</v>
      </c>
      <c r="L468" s="21" t="s">
        <v>71</v>
      </c>
      <c r="M468" s="4">
        <v>8.6151909163708074E-2</v>
      </c>
      <c r="N468" s="5">
        <f>_xlfn.XLOOKUP(L468,'Campaign Metadata'!$A$2:$A$6,'Campaign Metadata'!$B$2:$B$6)</f>
        <v>45901</v>
      </c>
      <c r="O468" s="5">
        <f>_xlfn.XLOOKUP(L468,'Campaign Metadata'!$A$2:$A$6,'Campaign Metadata'!$C$2:$C$6)</f>
        <v>45930</v>
      </c>
      <c r="P468" t="str">
        <f t="shared" si="7"/>
        <v>During</v>
      </c>
    </row>
    <row r="469" spans="1:16" x14ac:dyDescent="0.3">
      <c r="A469" t="s">
        <v>330</v>
      </c>
      <c r="B469" s="21" t="s">
        <v>31</v>
      </c>
      <c r="C469" s="5">
        <v>45912</v>
      </c>
      <c r="D469" s="21" t="s">
        <v>27</v>
      </c>
      <c r="E469" s="21" t="s">
        <v>11</v>
      </c>
      <c r="F469" s="22">
        <v>17158</v>
      </c>
      <c r="G469" s="22">
        <v>1192</v>
      </c>
      <c r="H469" s="22">
        <v>262</v>
      </c>
      <c r="I469" s="22">
        <v>2016</v>
      </c>
      <c r="J469" s="22">
        <v>28771</v>
      </c>
      <c r="K469" s="22">
        <v>216037</v>
      </c>
      <c r="L469" s="21" t="s">
        <v>71</v>
      </c>
      <c r="M469" s="4">
        <v>8.6151909163708074E-2</v>
      </c>
      <c r="N469" s="5">
        <f>_xlfn.XLOOKUP(L469,'Campaign Metadata'!$A$2:$A$6,'Campaign Metadata'!$B$2:$B$6)</f>
        <v>45901</v>
      </c>
      <c r="O469" s="5">
        <f>_xlfn.XLOOKUP(L469,'Campaign Metadata'!$A$2:$A$6,'Campaign Metadata'!$C$2:$C$6)</f>
        <v>45930</v>
      </c>
      <c r="P469" t="str">
        <f t="shared" si="7"/>
        <v>During</v>
      </c>
    </row>
    <row r="470" spans="1:16" x14ac:dyDescent="0.3">
      <c r="A470" t="s">
        <v>312</v>
      </c>
      <c r="B470" s="21" t="s">
        <v>32</v>
      </c>
      <c r="C470" s="5">
        <v>45912</v>
      </c>
      <c r="D470" s="21" t="s">
        <v>28</v>
      </c>
      <c r="E470" s="21" t="s">
        <v>6</v>
      </c>
      <c r="F470" s="22">
        <v>15918</v>
      </c>
      <c r="G470" s="22">
        <v>1114</v>
      </c>
      <c r="H470" s="22">
        <v>392</v>
      </c>
      <c r="I470" s="22">
        <v>1641</v>
      </c>
      <c r="J470" s="22">
        <v>28044</v>
      </c>
      <c r="K470" s="22">
        <v>118714</v>
      </c>
      <c r="L470" s="21" t="s">
        <v>71</v>
      </c>
      <c r="M470" s="4">
        <v>0.14677291642097814</v>
      </c>
      <c r="N470" s="5">
        <f>_xlfn.XLOOKUP(L470,'Campaign Metadata'!$A$2:$A$6,'Campaign Metadata'!$B$2:$B$6)</f>
        <v>45901</v>
      </c>
      <c r="O470" s="5">
        <f>_xlfn.XLOOKUP(L470,'Campaign Metadata'!$A$2:$A$6,'Campaign Metadata'!$C$2:$C$6)</f>
        <v>45930</v>
      </c>
      <c r="P470" t="str">
        <f t="shared" si="7"/>
        <v>During</v>
      </c>
    </row>
    <row r="471" spans="1:16" x14ac:dyDescent="0.3">
      <c r="A471" t="s">
        <v>312</v>
      </c>
      <c r="B471" s="21" t="s">
        <v>32</v>
      </c>
      <c r="C471" s="5">
        <v>45912</v>
      </c>
      <c r="D471" s="21" t="s">
        <v>28</v>
      </c>
      <c r="E471" s="21" t="s">
        <v>5</v>
      </c>
      <c r="F471" s="22">
        <v>15918</v>
      </c>
      <c r="G471" s="22">
        <v>1114</v>
      </c>
      <c r="H471" s="22">
        <v>392</v>
      </c>
      <c r="I471" s="22">
        <v>1641</v>
      </c>
      <c r="J471" s="22">
        <v>28044</v>
      </c>
      <c r="K471" s="22">
        <v>118714</v>
      </c>
      <c r="L471" s="21" t="s">
        <v>71</v>
      </c>
      <c r="M471" s="4">
        <v>0.14677291642097814</v>
      </c>
      <c r="N471" s="5">
        <f>_xlfn.XLOOKUP(L471,'Campaign Metadata'!$A$2:$A$6,'Campaign Metadata'!$B$2:$B$6)</f>
        <v>45901</v>
      </c>
      <c r="O471" s="5">
        <f>_xlfn.XLOOKUP(L471,'Campaign Metadata'!$A$2:$A$6,'Campaign Metadata'!$C$2:$C$6)</f>
        <v>45930</v>
      </c>
      <c r="P471" t="str">
        <f t="shared" si="7"/>
        <v>During</v>
      </c>
    </row>
    <row r="472" spans="1:16" x14ac:dyDescent="0.3">
      <c r="A472" t="s">
        <v>314</v>
      </c>
      <c r="B472" s="21" t="s">
        <v>29</v>
      </c>
      <c r="C472" s="5">
        <v>45913</v>
      </c>
      <c r="D472" s="21" t="s">
        <v>25</v>
      </c>
      <c r="E472" s="21" t="s">
        <v>5</v>
      </c>
      <c r="F472" s="22">
        <v>17106</v>
      </c>
      <c r="G472" s="22">
        <v>702</v>
      </c>
      <c r="H472" s="22">
        <v>459</v>
      </c>
      <c r="I472" s="22">
        <v>999</v>
      </c>
      <c r="J472" s="22">
        <v>59627</v>
      </c>
      <c r="K472" s="22">
        <v>136059</v>
      </c>
      <c r="L472" s="21" t="s">
        <v>71</v>
      </c>
      <c r="M472" s="4">
        <v>0.13425793222058077</v>
      </c>
      <c r="N472" s="5">
        <f>_xlfn.XLOOKUP(L472,'Campaign Metadata'!$A$2:$A$6,'Campaign Metadata'!$B$2:$B$6)</f>
        <v>45901</v>
      </c>
      <c r="O472" s="5">
        <f>_xlfn.XLOOKUP(L472,'Campaign Metadata'!$A$2:$A$6,'Campaign Metadata'!$C$2:$C$6)</f>
        <v>45930</v>
      </c>
      <c r="P472" t="str">
        <f t="shared" si="7"/>
        <v>During</v>
      </c>
    </row>
    <row r="473" spans="1:16" x14ac:dyDescent="0.3">
      <c r="A473" t="s">
        <v>314</v>
      </c>
      <c r="B473" s="21" t="s">
        <v>29</v>
      </c>
      <c r="C473" s="5">
        <v>45913</v>
      </c>
      <c r="D473" s="21" t="s">
        <v>25</v>
      </c>
      <c r="E473" s="21" t="s">
        <v>6</v>
      </c>
      <c r="F473" s="22">
        <v>17106</v>
      </c>
      <c r="G473" s="22">
        <v>702</v>
      </c>
      <c r="H473" s="22">
        <v>459</v>
      </c>
      <c r="I473" s="22">
        <v>999</v>
      </c>
      <c r="J473" s="22">
        <v>59627</v>
      </c>
      <c r="K473" s="22">
        <v>136059</v>
      </c>
      <c r="L473" s="21" t="s">
        <v>71</v>
      </c>
      <c r="M473" s="4">
        <v>0.13425793222058077</v>
      </c>
      <c r="N473" s="5">
        <f>_xlfn.XLOOKUP(L473,'Campaign Metadata'!$A$2:$A$6,'Campaign Metadata'!$B$2:$B$6)</f>
        <v>45901</v>
      </c>
      <c r="O473" s="5">
        <f>_xlfn.XLOOKUP(L473,'Campaign Metadata'!$A$2:$A$6,'Campaign Metadata'!$C$2:$C$6)</f>
        <v>45930</v>
      </c>
      <c r="P473" t="str">
        <f t="shared" si="7"/>
        <v>During</v>
      </c>
    </row>
    <row r="474" spans="1:16" x14ac:dyDescent="0.3">
      <c r="A474" t="s">
        <v>302</v>
      </c>
      <c r="B474" s="21" t="s">
        <v>29</v>
      </c>
      <c r="C474" s="5">
        <v>45913</v>
      </c>
      <c r="D474" s="21" t="s">
        <v>28</v>
      </c>
      <c r="E474" s="21" t="s">
        <v>18</v>
      </c>
      <c r="F474" s="22">
        <v>15046</v>
      </c>
      <c r="G474" s="22">
        <v>281</v>
      </c>
      <c r="H474" s="22">
        <v>515</v>
      </c>
      <c r="I474" s="22">
        <v>550</v>
      </c>
      <c r="J474" s="22">
        <v>22583</v>
      </c>
      <c r="K474" s="22">
        <v>64596</v>
      </c>
      <c r="L474" s="21" t="s">
        <v>71</v>
      </c>
      <c r="M474" s="4">
        <v>0.24524738373893121</v>
      </c>
      <c r="N474" s="5">
        <f>_xlfn.XLOOKUP(L474,'Campaign Metadata'!$A$2:$A$6,'Campaign Metadata'!$B$2:$B$6)</f>
        <v>45901</v>
      </c>
      <c r="O474" s="5">
        <f>_xlfn.XLOOKUP(L474,'Campaign Metadata'!$A$2:$A$6,'Campaign Metadata'!$C$2:$C$6)</f>
        <v>45930</v>
      </c>
      <c r="P474" t="str">
        <f t="shared" si="7"/>
        <v>During</v>
      </c>
    </row>
    <row r="475" spans="1:16" x14ac:dyDescent="0.3">
      <c r="A475" t="s">
        <v>302</v>
      </c>
      <c r="B475" s="21" t="s">
        <v>29</v>
      </c>
      <c r="C475" s="5">
        <v>45913</v>
      </c>
      <c r="D475" s="21" t="s">
        <v>28</v>
      </c>
      <c r="E475" s="21" t="s">
        <v>15</v>
      </c>
      <c r="F475" s="22">
        <v>15046</v>
      </c>
      <c r="G475" s="22">
        <v>281</v>
      </c>
      <c r="H475" s="22">
        <v>515</v>
      </c>
      <c r="I475" s="22">
        <v>550</v>
      </c>
      <c r="J475" s="22">
        <v>22583</v>
      </c>
      <c r="K475" s="22">
        <v>64596</v>
      </c>
      <c r="L475" s="21" t="s">
        <v>71</v>
      </c>
      <c r="M475" s="4">
        <v>0.24524738373893121</v>
      </c>
      <c r="N475" s="5">
        <f>_xlfn.XLOOKUP(L475,'Campaign Metadata'!$A$2:$A$6,'Campaign Metadata'!$B$2:$B$6)</f>
        <v>45901</v>
      </c>
      <c r="O475" s="5">
        <f>_xlfn.XLOOKUP(L475,'Campaign Metadata'!$A$2:$A$6,'Campaign Metadata'!$C$2:$C$6)</f>
        <v>45930</v>
      </c>
      <c r="P475" t="str">
        <f t="shared" si="7"/>
        <v>During</v>
      </c>
    </row>
    <row r="476" spans="1:16" x14ac:dyDescent="0.3">
      <c r="A476" t="s">
        <v>310</v>
      </c>
      <c r="B476" s="21" t="s">
        <v>32</v>
      </c>
      <c r="C476" s="5">
        <v>45914</v>
      </c>
      <c r="D476" s="21" t="s">
        <v>25</v>
      </c>
      <c r="E476" s="21" t="s">
        <v>9</v>
      </c>
      <c r="F476" s="22">
        <v>19844</v>
      </c>
      <c r="G476" s="22">
        <v>1020</v>
      </c>
      <c r="H476" s="22">
        <v>247</v>
      </c>
      <c r="I476" s="22">
        <v>2354</v>
      </c>
      <c r="J476" s="22">
        <v>37792</v>
      </c>
      <c r="K476" s="22">
        <v>138317</v>
      </c>
      <c r="L476" s="21" t="s">
        <v>71</v>
      </c>
      <c r="M476" s="4">
        <v>0.15262765965138053</v>
      </c>
      <c r="N476" s="5">
        <f>_xlfn.XLOOKUP(L476,'Campaign Metadata'!$A$2:$A$6,'Campaign Metadata'!$B$2:$B$6)</f>
        <v>45901</v>
      </c>
      <c r="O476" s="5">
        <f>_xlfn.XLOOKUP(L476,'Campaign Metadata'!$A$2:$A$6,'Campaign Metadata'!$C$2:$C$6)</f>
        <v>45930</v>
      </c>
      <c r="P476" t="str">
        <f t="shared" si="7"/>
        <v>During</v>
      </c>
    </row>
    <row r="477" spans="1:16" x14ac:dyDescent="0.3">
      <c r="A477" t="s">
        <v>310</v>
      </c>
      <c r="B477" s="21" t="s">
        <v>32</v>
      </c>
      <c r="C477" s="5">
        <v>45914</v>
      </c>
      <c r="D477" s="21" t="s">
        <v>25</v>
      </c>
      <c r="E477" s="21" t="s">
        <v>7</v>
      </c>
      <c r="F477" s="22">
        <v>19844</v>
      </c>
      <c r="G477" s="22">
        <v>1020</v>
      </c>
      <c r="H477" s="22">
        <v>247</v>
      </c>
      <c r="I477" s="22">
        <v>2354</v>
      </c>
      <c r="J477" s="22">
        <v>37792</v>
      </c>
      <c r="K477" s="22">
        <v>138317</v>
      </c>
      <c r="L477" s="21" t="s">
        <v>71</v>
      </c>
      <c r="M477" s="4">
        <v>0.15262765965138053</v>
      </c>
      <c r="N477" s="5">
        <f>_xlfn.XLOOKUP(L477,'Campaign Metadata'!$A$2:$A$6,'Campaign Metadata'!$B$2:$B$6)</f>
        <v>45901</v>
      </c>
      <c r="O477" s="5">
        <f>_xlfn.XLOOKUP(L477,'Campaign Metadata'!$A$2:$A$6,'Campaign Metadata'!$C$2:$C$6)</f>
        <v>45930</v>
      </c>
      <c r="P477" t="str">
        <f t="shared" si="7"/>
        <v>During</v>
      </c>
    </row>
    <row r="478" spans="1:16" x14ac:dyDescent="0.3">
      <c r="A478" t="s">
        <v>80</v>
      </c>
      <c r="B478" s="21" t="s">
        <v>29</v>
      </c>
      <c r="C478" s="5">
        <v>45914</v>
      </c>
      <c r="D478" s="21" t="s">
        <v>25</v>
      </c>
      <c r="E478" s="21" t="s">
        <v>3</v>
      </c>
      <c r="F478" s="22">
        <v>12787</v>
      </c>
      <c r="G478" s="22">
        <v>945</v>
      </c>
      <c r="H478" s="22">
        <v>974</v>
      </c>
      <c r="I478" s="22">
        <v>1407</v>
      </c>
      <c r="J478" s="22">
        <v>4037</v>
      </c>
      <c r="K478" s="22">
        <v>99182</v>
      </c>
      <c r="L478" s="21" t="s">
        <v>71</v>
      </c>
      <c r="M478" s="4">
        <v>0.14827287209372669</v>
      </c>
      <c r="N478" s="5">
        <f>_xlfn.XLOOKUP(L478,'Campaign Metadata'!$A$2:$A$6,'Campaign Metadata'!$B$2:$B$6)</f>
        <v>45901</v>
      </c>
      <c r="O478" s="5">
        <f>_xlfn.XLOOKUP(L478,'Campaign Metadata'!$A$2:$A$6,'Campaign Metadata'!$C$2:$C$6)</f>
        <v>45930</v>
      </c>
      <c r="P478" t="str">
        <f t="shared" si="7"/>
        <v>During</v>
      </c>
    </row>
    <row r="479" spans="1:16" x14ac:dyDescent="0.3">
      <c r="A479" t="s">
        <v>80</v>
      </c>
      <c r="B479" s="21" t="s">
        <v>29</v>
      </c>
      <c r="C479" s="5">
        <v>45914</v>
      </c>
      <c r="D479" s="21" t="s">
        <v>25</v>
      </c>
      <c r="E479" s="21" t="s">
        <v>13</v>
      </c>
      <c r="F479" s="22">
        <v>12787</v>
      </c>
      <c r="G479" s="22">
        <v>945</v>
      </c>
      <c r="H479" s="22">
        <v>974</v>
      </c>
      <c r="I479" s="22">
        <v>1407</v>
      </c>
      <c r="J479" s="22">
        <v>4037</v>
      </c>
      <c r="K479" s="22">
        <v>99182</v>
      </c>
      <c r="L479" s="21" t="s">
        <v>71</v>
      </c>
      <c r="M479" s="4">
        <v>0.14827287209372669</v>
      </c>
      <c r="N479" s="5">
        <f>_xlfn.XLOOKUP(L479,'Campaign Metadata'!$A$2:$A$6,'Campaign Metadata'!$B$2:$B$6)</f>
        <v>45901</v>
      </c>
      <c r="O479" s="5">
        <f>_xlfn.XLOOKUP(L479,'Campaign Metadata'!$A$2:$A$6,'Campaign Metadata'!$C$2:$C$6)</f>
        <v>45930</v>
      </c>
      <c r="P479" t="str">
        <f t="shared" si="7"/>
        <v>During</v>
      </c>
    </row>
    <row r="480" spans="1:16" x14ac:dyDescent="0.3">
      <c r="A480" t="s">
        <v>353</v>
      </c>
      <c r="B480" s="21" t="s">
        <v>32</v>
      </c>
      <c r="C480" s="5">
        <v>45915</v>
      </c>
      <c r="D480" s="21" t="s">
        <v>27</v>
      </c>
      <c r="E480" s="21" t="s">
        <v>4</v>
      </c>
      <c r="F480" s="22">
        <v>5636</v>
      </c>
      <c r="G480" s="22">
        <v>303</v>
      </c>
      <c r="H480" s="22">
        <v>204</v>
      </c>
      <c r="I480" s="22">
        <v>2480</v>
      </c>
      <c r="J480" s="22">
        <v>7377</v>
      </c>
      <c r="K480" s="22">
        <v>241207</v>
      </c>
      <c r="L480" s="21" t="s">
        <v>71</v>
      </c>
      <c r="M480" s="4">
        <v>2.5467751765081443E-2</v>
      </c>
      <c r="N480" s="5">
        <f>_xlfn.XLOOKUP(L480,'Campaign Metadata'!$A$2:$A$6,'Campaign Metadata'!$B$2:$B$6)</f>
        <v>45901</v>
      </c>
      <c r="O480" s="5">
        <f>_xlfn.XLOOKUP(L480,'Campaign Metadata'!$A$2:$A$6,'Campaign Metadata'!$C$2:$C$6)</f>
        <v>45930</v>
      </c>
      <c r="P480" t="str">
        <f t="shared" si="7"/>
        <v>During</v>
      </c>
    </row>
    <row r="481" spans="1:16" x14ac:dyDescent="0.3">
      <c r="A481" t="s">
        <v>353</v>
      </c>
      <c r="B481" s="21" t="s">
        <v>32</v>
      </c>
      <c r="C481" s="5">
        <v>45915</v>
      </c>
      <c r="D481" s="21" t="s">
        <v>27</v>
      </c>
      <c r="E481" s="21" t="s">
        <v>16</v>
      </c>
      <c r="F481" s="22">
        <v>5636</v>
      </c>
      <c r="G481" s="22">
        <v>303</v>
      </c>
      <c r="H481" s="22">
        <v>204</v>
      </c>
      <c r="I481" s="22">
        <v>2480</v>
      </c>
      <c r="J481" s="22">
        <v>7377</v>
      </c>
      <c r="K481" s="22">
        <v>241207</v>
      </c>
      <c r="L481" s="21" t="s">
        <v>71</v>
      </c>
      <c r="M481" s="4">
        <v>2.5467751765081443E-2</v>
      </c>
      <c r="N481" s="5">
        <f>_xlfn.XLOOKUP(L481,'Campaign Metadata'!$A$2:$A$6,'Campaign Metadata'!$B$2:$B$6)</f>
        <v>45901</v>
      </c>
      <c r="O481" s="5">
        <f>_xlfn.XLOOKUP(L481,'Campaign Metadata'!$A$2:$A$6,'Campaign Metadata'!$C$2:$C$6)</f>
        <v>45930</v>
      </c>
      <c r="P481" t="str">
        <f t="shared" si="7"/>
        <v>During</v>
      </c>
    </row>
    <row r="482" spans="1:16" x14ac:dyDescent="0.3">
      <c r="A482" t="s">
        <v>305</v>
      </c>
      <c r="B482" s="21" t="s">
        <v>31</v>
      </c>
      <c r="C482" s="5">
        <v>45915</v>
      </c>
      <c r="D482" s="21" t="s">
        <v>26</v>
      </c>
      <c r="E482" s="21" t="s">
        <v>5</v>
      </c>
      <c r="F482" s="22">
        <v>18389</v>
      </c>
      <c r="G482" s="22">
        <v>670</v>
      </c>
      <c r="H482" s="22">
        <v>655</v>
      </c>
      <c r="I482" s="22">
        <v>321</v>
      </c>
      <c r="J482" s="22">
        <v>21869</v>
      </c>
      <c r="K482" s="22">
        <v>96088</v>
      </c>
      <c r="L482" s="21" t="s">
        <v>71</v>
      </c>
      <c r="M482" s="4">
        <v>0.2051660977437349</v>
      </c>
      <c r="N482" s="5">
        <f>_xlfn.XLOOKUP(L482,'Campaign Metadata'!$A$2:$A$6,'Campaign Metadata'!$B$2:$B$6)</f>
        <v>45901</v>
      </c>
      <c r="O482" s="5">
        <f>_xlfn.XLOOKUP(L482,'Campaign Metadata'!$A$2:$A$6,'Campaign Metadata'!$C$2:$C$6)</f>
        <v>45930</v>
      </c>
      <c r="P482" t="str">
        <f t="shared" si="7"/>
        <v>During</v>
      </c>
    </row>
    <row r="483" spans="1:16" x14ac:dyDescent="0.3">
      <c r="A483" t="s">
        <v>305</v>
      </c>
      <c r="B483" s="21" t="s">
        <v>31</v>
      </c>
      <c r="C483" s="5">
        <v>45915</v>
      </c>
      <c r="D483" s="21" t="s">
        <v>26</v>
      </c>
      <c r="E483" s="21" t="s">
        <v>6</v>
      </c>
      <c r="F483" s="22">
        <v>18389</v>
      </c>
      <c r="G483" s="22">
        <v>670</v>
      </c>
      <c r="H483" s="22">
        <v>655</v>
      </c>
      <c r="I483" s="22">
        <v>321</v>
      </c>
      <c r="J483" s="22">
        <v>21869</v>
      </c>
      <c r="K483" s="22">
        <v>96088</v>
      </c>
      <c r="L483" s="21" t="s">
        <v>71</v>
      </c>
      <c r="M483" s="4">
        <v>0.2051660977437349</v>
      </c>
      <c r="N483" s="5">
        <f>_xlfn.XLOOKUP(L483,'Campaign Metadata'!$A$2:$A$6,'Campaign Metadata'!$B$2:$B$6)</f>
        <v>45901</v>
      </c>
      <c r="O483" s="5">
        <f>_xlfn.XLOOKUP(L483,'Campaign Metadata'!$A$2:$A$6,'Campaign Metadata'!$C$2:$C$6)</f>
        <v>45930</v>
      </c>
      <c r="P483" t="str">
        <f t="shared" si="7"/>
        <v>During</v>
      </c>
    </row>
    <row r="484" spans="1:16" x14ac:dyDescent="0.3">
      <c r="A484" t="s">
        <v>349</v>
      </c>
      <c r="B484" s="21" t="s">
        <v>31</v>
      </c>
      <c r="C484" s="5">
        <v>45916</v>
      </c>
      <c r="D484" s="21" t="s">
        <v>27</v>
      </c>
      <c r="E484" s="21" t="s">
        <v>17</v>
      </c>
      <c r="F484" s="22">
        <v>6809</v>
      </c>
      <c r="G484" s="22">
        <v>397</v>
      </c>
      <c r="H484" s="22">
        <v>813</v>
      </c>
      <c r="I484" s="22">
        <v>1125</v>
      </c>
      <c r="J484" s="22">
        <v>12206</v>
      </c>
      <c r="K484" s="22">
        <v>218136</v>
      </c>
      <c r="L484" s="21" t="s">
        <v>71</v>
      </c>
      <c r="M484" s="4">
        <v>3.6761469908680823E-2</v>
      </c>
      <c r="N484" s="5">
        <f>_xlfn.XLOOKUP(L484,'Campaign Metadata'!$A$2:$A$6,'Campaign Metadata'!$B$2:$B$6)</f>
        <v>45901</v>
      </c>
      <c r="O484" s="5">
        <f>_xlfn.XLOOKUP(L484,'Campaign Metadata'!$A$2:$A$6,'Campaign Metadata'!$C$2:$C$6)</f>
        <v>45930</v>
      </c>
      <c r="P484" t="str">
        <f t="shared" si="7"/>
        <v>During</v>
      </c>
    </row>
    <row r="485" spans="1:16" x14ac:dyDescent="0.3">
      <c r="A485" t="s">
        <v>327</v>
      </c>
      <c r="B485" s="21" t="s">
        <v>30</v>
      </c>
      <c r="C485" s="5">
        <v>45916</v>
      </c>
      <c r="D485" s="21" t="s">
        <v>26</v>
      </c>
      <c r="E485" s="21" t="s">
        <v>17</v>
      </c>
      <c r="F485" s="22">
        <v>16043</v>
      </c>
      <c r="G485" s="22">
        <v>595</v>
      </c>
      <c r="H485" s="22">
        <v>923</v>
      </c>
      <c r="I485" s="22">
        <v>1194</v>
      </c>
      <c r="J485" s="22">
        <v>52613</v>
      </c>
      <c r="K485" s="22">
        <v>179978</v>
      </c>
      <c r="L485" s="21" t="s">
        <v>71</v>
      </c>
      <c r="M485" s="4">
        <v>9.757303670448611E-2</v>
      </c>
      <c r="N485" s="5">
        <f>_xlfn.XLOOKUP(L485,'Campaign Metadata'!$A$2:$A$6,'Campaign Metadata'!$B$2:$B$6)</f>
        <v>45901</v>
      </c>
      <c r="O485" s="5">
        <f>_xlfn.XLOOKUP(L485,'Campaign Metadata'!$A$2:$A$6,'Campaign Metadata'!$C$2:$C$6)</f>
        <v>45930</v>
      </c>
      <c r="P485" t="str">
        <f t="shared" si="7"/>
        <v>During</v>
      </c>
    </row>
    <row r="486" spans="1:16" x14ac:dyDescent="0.3">
      <c r="A486" t="s">
        <v>341</v>
      </c>
      <c r="B486" s="21" t="s">
        <v>30</v>
      </c>
      <c r="C486" s="5">
        <v>45917</v>
      </c>
      <c r="D486" s="21" t="s">
        <v>27</v>
      </c>
      <c r="E486" s="21" t="s">
        <v>5</v>
      </c>
      <c r="F486" s="22">
        <v>15456</v>
      </c>
      <c r="G486" s="22">
        <v>590</v>
      </c>
      <c r="H486" s="22">
        <v>555</v>
      </c>
      <c r="I486" s="22">
        <v>2882</v>
      </c>
      <c r="J486" s="22">
        <v>49816</v>
      </c>
      <c r="K486" s="22">
        <v>240422</v>
      </c>
      <c r="L486" s="21" t="s">
        <v>71</v>
      </c>
      <c r="M486" s="4">
        <v>6.9049421433978589E-2</v>
      </c>
      <c r="N486" s="5">
        <f>_xlfn.XLOOKUP(L486,'Campaign Metadata'!$A$2:$A$6,'Campaign Metadata'!$B$2:$B$6)</f>
        <v>45901</v>
      </c>
      <c r="O486" s="5">
        <f>_xlfn.XLOOKUP(L486,'Campaign Metadata'!$A$2:$A$6,'Campaign Metadata'!$C$2:$C$6)</f>
        <v>45930</v>
      </c>
      <c r="P486" t="str">
        <f t="shared" si="7"/>
        <v>During</v>
      </c>
    </row>
    <row r="487" spans="1:16" x14ac:dyDescent="0.3">
      <c r="A487" t="s">
        <v>341</v>
      </c>
      <c r="B487" s="21" t="s">
        <v>30</v>
      </c>
      <c r="C487" s="5">
        <v>45917</v>
      </c>
      <c r="D487" s="21" t="s">
        <v>27</v>
      </c>
      <c r="E487" s="21" t="s">
        <v>6</v>
      </c>
      <c r="F487" s="22">
        <v>15456</v>
      </c>
      <c r="G487" s="22">
        <v>590</v>
      </c>
      <c r="H487" s="22">
        <v>555</v>
      </c>
      <c r="I487" s="22">
        <v>2882</v>
      </c>
      <c r="J487" s="22">
        <v>49816</v>
      </c>
      <c r="K487" s="22">
        <v>240422</v>
      </c>
      <c r="L487" s="21" t="s">
        <v>71</v>
      </c>
      <c r="M487" s="4">
        <v>6.9049421433978589E-2</v>
      </c>
      <c r="N487" s="5">
        <f>_xlfn.XLOOKUP(L487,'Campaign Metadata'!$A$2:$A$6,'Campaign Metadata'!$B$2:$B$6)</f>
        <v>45901</v>
      </c>
      <c r="O487" s="5">
        <f>_xlfn.XLOOKUP(L487,'Campaign Metadata'!$A$2:$A$6,'Campaign Metadata'!$C$2:$C$6)</f>
        <v>45930</v>
      </c>
      <c r="P487" t="str">
        <f t="shared" si="7"/>
        <v>During</v>
      </c>
    </row>
    <row r="488" spans="1:16" x14ac:dyDescent="0.3">
      <c r="A488" t="s">
        <v>346</v>
      </c>
      <c r="B488" s="21" t="s">
        <v>32</v>
      </c>
      <c r="C488" s="5">
        <v>45917</v>
      </c>
      <c r="D488" s="21" t="s">
        <v>25</v>
      </c>
      <c r="E488" s="21" t="s">
        <v>5</v>
      </c>
      <c r="F488" s="22">
        <v>2117</v>
      </c>
      <c r="G488" s="22">
        <v>1133</v>
      </c>
      <c r="H488" s="22">
        <v>203</v>
      </c>
      <c r="I488" s="22">
        <v>1173</v>
      </c>
      <c r="J488" s="22">
        <v>40125</v>
      </c>
      <c r="K488" s="22">
        <v>85379</v>
      </c>
      <c r="L488" s="21" t="s">
        <v>71</v>
      </c>
      <c r="M488" s="4">
        <v>4.0443200318579509E-2</v>
      </c>
      <c r="N488" s="5">
        <f>_xlfn.XLOOKUP(L488,'Campaign Metadata'!$A$2:$A$6,'Campaign Metadata'!$B$2:$B$6)</f>
        <v>45901</v>
      </c>
      <c r="O488" s="5">
        <f>_xlfn.XLOOKUP(L488,'Campaign Metadata'!$A$2:$A$6,'Campaign Metadata'!$C$2:$C$6)</f>
        <v>45930</v>
      </c>
      <c r="P488" t="str">
        <f t="shared" si="7"/>
        <v>During</v>
      </c>
    </row>
    <row r="489" spans="1:16" x14ac:dyDescent="0.3">
      <c r="A489" t="s">
        <v>346</v>
      </c>
      <c r="B489" s="21" t="s">
        <v>32</v>
      </c>
      <c r="C489" s="5">
        <v>45917</v>
      </c>
      <c r="D489" s="21" t="s">
        <v>25</v>
      </c>
      <c r="E489" s="21" t="s">
        <v>6</v>
      </c>
      <c r="F489" s="22">
        <v>2117</v>
      </c>
      <c r="G489" s="22">
        <v>1133</v>
      </c>
      <c r="H489" s="22">
        <v>203</v>
      </c>
      <c r="I489" s="22">
        <v>1173</v>
      </c>
      <c r="J489" s="22">
        <v>40125</v>
      </c>
      <c r="K489" s="22">
        <v>85379</v>
      </c>
      <c r="L489" s="21" t="s">
        <v>71</v>
      </c>
      <c r="M489" s="4">
        <v>4.0443200318579509E-2</v>
      </c>
      <c r="N489" s="5">
        <f>_xlfn.XLOOKUP(L489,'Campaign Metadata'!$A$2:$A$6,'Campaign Metadata'!$B$2:$B$6)</f>
        <v>45901</v>
      </c>
      <c r="O489" s="5">
        <f>_xlfn.XLOOKUP(L489,'Campaign Metadata'!$A$2:$A$6,'Campaign Metadata'!$C$2:$C$6)</f>
        <v>45930</v>
      </c>
      <c r="P489" t="str">
        <f t="shared" si="7"/>
        <v>During</v>
      </c>
    </row>
    <row r="490" spans="1:16" x14ac:dyDescent="0.3">
      <c r="A490" t="s">
        <v>126</v>
      </c>
      <c r="B490" s="21" t="s">
        <v>31</v>
      </c>
      <c r="C490" s="5">
        <v>45918</v>
      </c>
      <c r="D490" s="21" t="s">
        <v>25</v>
      </c>
      <c r="E490" s="21" t="s">
        <v>3</v>
      </c>
      <c r="F490" s="22">
        <v>4048</v>
      </c>
      <c r="G490" s="22">
        <v>677</v>
      </c>
      <c r="H490" s="22">
        <v>911</v>
      </c>
      <c r="I490" s="22">
        <v>2429</v>
      </c>
      <c r="J490" s="22">
        <v>27361</v>
      </c>
      <c r="K490" s="22">
        <v>101272</v>
      </c>
      <c r="L490" s="21" t="s">
        <v>71</v>
      </c>
      <c r="M490" s="4">
        <v>5.5652105221581483E-2</v>
      </c>
      <c r="N490" s="5">
        <f>_xlfn.XLOOKUP(L490,'Campaign Metadata'!$A$2:$A$6,'Campaign Metadata'!$B$2:$B$6)</f>
        <v>45901</v>
      </c>
      <c r="O490" s="5">
        <f>_xlfn.XLOOKUP(L490,'Campaign Metadata'!$A$2:$A$6,'Campaign Metadata'!$C$2:$C$6)</f>
        <v>45930</v>
      </c>
      <c r="P490" t="str">
        <f t="shared" si="7"/>
        <v>During</v>
      </c>
    </row>
    <row r="491" spans="1:16" x14ac:dyDescent="0.3">
      <c r="A491" t="s">
        <v>126</v>
      </c>
      <c r="B491" s="21" t="s">
        <v>31</v>
      </c>
      <c r="C491" s="5">
        <v>45918</v>
      </c>
      <c r="D491" s="21" t="s">
        <v>25</v>
      </c>
      <c r="E491" s="21" t="s">
        <v>13</v>
      </c>
      <c r="F491" s="22">
        <v>4048</v>
      </c>
      <c r="G491" s="22">
        <v>677</v>
      </c>
      <c r="H491" s="22">
        <v>911</v>
      </c>
      <c r="I491" s="22">
        <v>2429</v>
      </c>
      <c r="J491" s="22">
        <v>27361</v>
      </c>
      <c r="K491" s="22">
        <v>101272</v>
      </c>
      <c r="L491" s="21" t="s">
        <v>71</v>
      </c>
      <c r="M491" s="4">
        <v>5.5652105221581483E-2</v>
      </c>
      <c r="N491" s="5">
        <f>_xlfn.XLOOKUP(L491,'Campaign Metadata'!$A$2:$A$6,'Campaign Metadata'!$B$2:$B$6)</f>
        <v>45901</v>
      </c>
      <c r="O491" s="5">
        <f>_xlfn.XLOOKUP(L491,'Campaign Metadata'!$A$2:$A$6,'Campaign Metadata'!$C$2:$C$6)</f>
        <v>45930</v>
      </c>
      <c r="P491" t="str">
        <f t="shared" si="7"/>
        <v>During</v>
      </c>
    </row>
    <row r="492" spans="1:16" x14ac:dyDescent="0.3">
      <c r="A492" t="s">
        <v>298</v>
      </c>
      <c r="B492" s="21" t="s">
        <v>31</v>
      </c>
      <c r="C492" s="5">
        <v>45918</v>
      </c>
      <c r="D492" s="21" t="s">
        <v>27</v>
      </c>
      <c r="E492" s="21" t="s">
        <v>17</v>
      </c>
      <c r="F492" s="22">
        <v>10152</v>
      </c>
      <c r="G492" s="22">
        <v>1445</v>
      </c>
      <c r="H492" s="22">
        <v>526</v>
      </c>
      <c r="I492" s="22">
        <v>513</v>
      </c>
      <c r="J492" s="22">
        <v>18959</v>
      </c>
      <c r="K492" s="22">
        <v>43712</v>
      </c>
      <c r="L492" s="21" t="s">
        <v>71</v>
      </c>
      <c r="M492" s="4">
        <v>0.27733803074670571</v>
      </c>
      <c r="N492" s="5">
        <f>_xlfn.XLOOKUP(L492,'Campaign Metadata'!$A$2:$A$6,'Campaign Metadata'!$B$2:$B$6)</f>
        <v>45901</v>
      </c>
      <c r="O492" s="5">
        <f>_xlfn.XLOOKUP(L492,'Campaign Metadata'!$A$2:$A$6,'Campaign Metadata'!$C$2:$C$6)</f>
        <v>45930</v>
      </c>
      <c r="P492" t="str">
        <f t="shared" si="7"/>
        <v>During</v>
      </c>
    </row>
    <row r="493" spans="1:16" x14ac:dyDescent="0.3">
      <c r="A493" t="s">
        <v>350</v>
      </c>
      <c r="B493" s="21" t="s">
        <v>31</v>
      </c>
      <c r="C493" s="5">
        <v>45918</v>
      </c>
      <c r="D493" s="21" t="s">
        <v>28</v>
      </c>
      <c r="E493" s="21" t="s">
        <v>5</v>
      </c>
      <c r="F493" s="22">
        <v>3828</v>
      </c>
      <c r="G493" s="22">
        <v>203</v>
      </c>
      <c r="H493" s="22">
        <v>506</v>
      </c>
      <c r="I493" s="22">
        <v>2440</v>
      </c>
      <c r="J493" s="22">
        <v>63650</v>
      </c>
      <c r="K493" s="22">
        <v>126365</v>
      </c>
      <c r="L493" s="21" t="s">
        <v>71</v>
      </c>
      <c r="M493" s="4">
        <v>3.5903929094290347E-2</v>
      </c>
      <c r="N493" s="5">
        <f>_xlfn.XLOOKUP(L493,'Campaign Metadata'!$A$2:$A$6,'Campaign Metadata'!$B$2:$B$6)</f>
        <v>45901</v>
      </c>
      <c r="O493" s="5">
        <f>_xlfn.XLOOKUP(L493,'Campaign Metadata'!$A$2:$A$6,'Campaign Metadata'!$C$2:$C$6)</f>
        <v>45930</v>
      </c>
      <c r="P493" t="str">
        <f t="shared" si="7"/>
        <v>During</v>
      </c>
    </row>
    <row r="494" spans="1:16" x14ac:dyDescent="0.3">
      <c r="A494" t="s">
        <v>350</v>
      </c>
      <c r="B494" s="21" t="s">
        <v>31</v>
      </c>
      <c r="C494" s="5">
        <v>45918</v>
      </c>
      <c r="D494" s="21" t="s">
        <v>28</v>
      </c>
      <c r="E494" s="21" t="s">
        <v>6</v>
      </c>
      <c r="F494" s="22">
        <v>3828</v>
      </c>
      <c r="G494" s="22">
        <v>203</v>
      </c>
      <c r="H494" s="22">
        <v>506</v>
      </c>
      <c r="I494" s="22">
        <v>2440</v>
      </c>
      <c r="J494" s="22">
        <v>63650</v>
      </c>
      <c r="K494" s="22">
        <v>126365</v>
      </c>
      <c r="L494" s="21" t="s">
        <v>71</v>
      </c>
      <c r="M494" s="4">
        <v>3.5903929094290347E-2</v>
      </c>
      <c r="N494" s="5">
        <f>_xlfn.XLOOKUP(L494,'Campaign Metadata'!$A$2:$A$6,'Campaign Metadata'!$B$2:$B$6)</f>
        <v>45901</v>
      </c>
      <c r="O494" s="5">
        <f>_xlfn.XLOOKUP(L494,'Campaign Metadata'!$A$2:$A$6,'Campaign Metadata'!$C$2:$C$6)</f>
        <v>45930</v>
      </c>
      <c r="P494" t="str">
        <f t="shared" si="7"/>
        <v>During</v>
      </c>
    </row>
    <row r="495" spans="1:16" x14ac:dyDescent="0.3">
      <c r="A495" t="s">
        <v>320</v>
      </c>
      <c r="B495" s="21" t="s">
        <v>31</v>
      </c>
      <c r="C495" s="5">
        <v>45919</v>
      </c>
      <c r="D495" s="21" t="s">
        <v>26</v>
      </c>
      <c r="E495" s="21" t="s">
        <v>9</v>
      </c>
      <c r="F495" s="22">
        <v>19100</v>
      </c>
      <c r="G495" s="22">
        <v>619</v>
      </c>
      <c r="H495" s="22">
        <v>297</v>
      </c>
      <c r="I495" s="22">
        <v>2312</v>
      </c>
      <c r="J495" s="22">
        <v>9730</v>
      </c>
      <c r="K495" s="22">
        <v>184832</v>
      </c>
      <c r="L495" s="21" t="s">
        <v>71</v>
      </c>
      <c r="M495" s="4">
        <v>0.10829293628808864</v>
      </c>
      <c r="N495" s="5">
        <f>_xlfn.XLOOKUP(L495,'Campaign Metadata'!$A$2:$A$6,'Campaign Metadata'!$B$2:$B$6)</f>
        <v>45901</v>
      </c>
      <c r="O495" s="5">
        <f>_xlfn.XLOOKUP(L495,'Campaign Metadata'!$A$2:$A$6,'Campaign Metadata'!$C$2:$C$6)</f>
        <v>45930</v>
      </c>
      <c r="P495" t="str">
        <f t="shared" si="7"/>
        <v>During</v>
      </c>
    </row>
    <row r="496" spans="1:16" x14ac:dyDescent="0.3">
      <c r="A496" t="s">
        <v>320</v>
      </c>
      <c r="B496" s="21" t="s">
        <v>31</v>
      </c>
      <c r="C496" s="5">
        <v>45919</v>
      </c>
      <c r="D496" s="21" t="s">
        <v>26</v>
      </c>
      <c r="E496" s="21" t="s">
        <v>7</v>
      </c>
      <c r="F496" s="22">
        <v>19100</v>
      </c>
      <c r="G496" s="22">
        <v>619</v>
      </c>
      <c r="H496" s="22">
        <v>297</v>
      </c>
      <c r="I496" s="22">
        <v>2312</v>
      </c>
      <c r="J496" s="22">
        <v>9730</v>
      </c>
      <c r="K496" s="22">
        <v>184832</v>
      </c>
      <c r="L496" s="21" t="s">
        <v>71</v>
      </c>
      <c r="M496" s="4">
        <v>0.10829293628808864</v>
      </c>
      <c r="N496" s="5">
        <f>_xlfn.XLOOKUP(L496,'Campaign Metadata'!$A$2:$A$6,'Campaign Metadata'!$B$2:$B$6)</f>
        <v>45901</v>
      </c>
      <c r="O496" s="5">
        <f>_xlfn.XLOOKUP(L496,'Campaign Metadata'!$A$2:$A$6,'Campaign Metadata'!$C$2:$C$6)</f>
        <v>45930</v>
      </c>
      <c r="P496" t="str">
        <f t="shared" si="7"/>
        <v>During</v>
      </c>
    </row>
    <row r="497" spans="1:16" x14ac:dyDescent="0.3">
      <c r="A497" t="s">
        <v>99</v>
      </c>
      <c r="B497" s="21" t="s">
        <v>30</v>
      </c>
      <c r="C497" s="5">
        <v>45919</v>
      </c>
      <c r="D497" s="21" t="s">
        <v>25</v>
      </c>
      <c r="E497" s="21" t="s">
        <v>3</v>
      </c>
      <c r="F497" s="22">
        <v>14772</v>
      </c>
      <c r="G497" s="22">
        <v>1030</v>
      </c>
      <c r="H497" s="22">
        <v>508</v>
      </c>
      <c r="I497" s="22">
        <v>1876</v>
      </c>
      <c r="J497" s="22">
        <v>8882</v>
      </c>
      <c r="K497" s="22">
        <v>155142</v>
      </c>
      <c r="L497" s="21" t="s">
        <v>71</v>
      </c>
      <c r="M497" s="4">
        <v>0.10512949426976577</v>
      </c>
      <c r="N497" s="5">
        <f>_xlfn.XLOOKUP(L497,'Campaign Metadata'!$A$2:$A$6,'Campaign Metadata'!$B$2:$B$6)</f>
        <v>45901</v>
      </c>
      <c r="O497" s="5">
        <f>_xlfn.XLOOKUP(L497,'Campaign Metadata'!$A$2:$A$6,'Campaign Metadata'!$C$2:$C$6)</f>
        <v>45930</v>
      </c>
      <c r="P497" t="str">
        <f t="shared" si="7"/>
        <v>During</v>
      </c>
    </row>
    <row r="498" spans="1:16" x14ac:dyDescent="0.3">
      <c r="A498" t="s">
        <v>99</v>
      </c>
      <c r="B498" s="21" t="s">
        <v>30</v>
      </c>
      <c r="C498" s="5">
        <v>45919</v>
      </c>
      <c r="D498" s="21" t="s">
        <v>25</v>
      </c>
      <c r="E498" s="21" t="s">
        <v>12</v>
      </c>
      <c r="F498" s="22">
        <v>14772</v>
      </c>
      <c r="G498" s="22">
        <v>1030</v>
      </c>
      <c r="H498" s="22">
        <v>508</v>
      </c>
      <c r="I498" s="22">
        <v>1876</v>
      </c>
      <c r="J498" s="22">
        <v>8882</v>
      </c>
      <c r="K498" s="22">
        <v>155142</v>
      </c>
      <c r="L498" s="21" t="s">
        <v>71</v>
      </c>
      <c r="M498" s="4">
        <v>0.10512949426976577</v>
      </c>
      <c r="N498" s="5">
        <f>_xlfn.XLOOKUP(L498,'Campaign Metadata'!$A$2:$A$6,'Campaign Metadata'!$B$2:$B$6)</f>
        <v>45901</v>
      </c>
      <c r="O498" s="5">
        <f>_xlfn.XLOOKUP(L498,'Campaign Metadata'!$A$2:$A$6,'Campaign Metadata'!$C$2:$C$6)</f>
        <v>45930</v>
      </c>
      <c r="P498" t="str">
        <f t="shared" si="7"/>
        <v>During</v>
      </c>
    </row>
    <row r="499" spans="1:16" x14ac:dyDescent="0.3">
      <c r="A499" t="s">
        <v>304</v>
      </c>
      <c r="B499" s="21" t="s">
        <v>32</v>
      </c>
      <c r="C499" s="5">
        <v>45919</v>
      </c>
      <c r="D499" s="21" t="s">
        <v>27</v>
      </c>
      <c r="E499" s="21" t="s">
        <v>7</v>
      </c>
      <c r="F499" s="22">
        <v>22128</v>
      </c>
      <c r="G499" s="22">
        <v>1004</v>
      </c>
      <c r="H499" s="22">
        <v>690</v>
      </c>
      <c r="I499" s="22">
        <v>2048</v>
      </c>
      <c r="J499" s="22">
        <v>19443</v>
      </c>
      <c r="K499" s="22">
        <v>103646</v>
      </c>
      <c r="L499" s="21" t="s">
        <v>71</v>
      </c>
      <c r="M499" s="4">
        <v>0.22984003241803833</v>
      </c>
      <c r="N499" s="5">
        <f>_xlfn.XLOOKUP(L499,'Campaign Metadata'!$A$2:$A$6,'Campaign Metadata'!$B$2:$B$6)</f>
        <v>45901</v>
      </c>
      <c r="O499" s="5">
        <f>_xlfn.XLOOKUP(L499,'Campaign Metadata'!$A$2:$A$6,'Campaign Metadata'!$C$2:$C$6)</f>
        <v>45930</v>
      </c>
      <c r="P499" t="str">
        <f t="shared" si="7"/>
        <v>During</v>
      </c>
    </row>
    <row r="500" spans="1:16" x14ac:dyDescent="0.3">
      <c r="A500" t="s">
        <v>304</v>
      </c>
      <c r="B500" s="21" t="s">
        <v>32</v>
      </c>
      <c r="C500" s="5">
        <v>45919</v>
      </c>
      <c r="D500" s="21" t="s">
        <v>27</v>
      </c>
      <c r="E500" s="21" t="s">
        <v>9</v>
      </c>
      <c r="F500" s="22">
        <v>22128</v>
      </c>
      <c r="G500" s="22">
        <v>1004</v>
      </c>
      <c r="H500" s="22">
        <v>690</v>
      </c>
      <c r="I500" s="22">
        <v>2048</v>
      </c>
      <c r="J500" s="22">
        <v>19443</v>
      </c>
      <c r="K500" s="22">
        <v>103646</v>
      </c>
      <c r="L500" s="21" t="s">
        <v>71</v>
      </c>
      <c r="M500" s="4">
        <v>0.22984003241803833</v>
      </c>
      <c r="N500" s="5">
        <f>_xlfn.XLOOKUP(L500,'Campaign Metadata'!$A$2:$A$6,'Campaign Metadata'!$B$2:$B$6)</f>
        <v>45901</v>
      </c>
      <c r="O500" s="5">
        <f>_xlfn.XLOOKUP(L500,'Campaign Metadata'!$A$2:$A$6,'Campaign Metadata'!$C$2:$C$6)</f>
        <v>45930</v>
      </c>
      <c r="P500" t="str">
        <f t="shared" si="7"/>
        <v>During</v>
      </c>
    </row>
    <row r="501" spans="1:16" x14ac:dyDescent="0.3">
      <c r="A501" t="s">
        <v>78</v>
      </c>
      <c r="B501" s="21" t="s">
        <v>32</v>
      </c>
      <c r="C501" s="5">
        <v>45920</v>
      </c>
      <c r="D501" s="21" t="s">
        <v>26</v>
      </c>
      <c r="E501" s="21" t="s">
        <v>3</v>
      </c>
      <c r="F501" s="22">
        <v>18633</v>
      </c>
      <c r="G501" s="22">
        <v>797</v>
      </c>
      <c r="H501" s="22">
        <v>303</v>
      </c>
      <c r="I501" s="22">
        <v>659</v>
      </c>
      <c r="J501" s="22">
        <v>7</v>
      </c>
      <c r="K501" s="22">
        <v>122189</v>
      </c>
      <c r="L501" s="21" t="s">
        <v>71</v>
      </c>
      <c r="M501" s="4">
        <v>0.16149571565361859</v>
      </c>
      <c r="N501" s="5">
        <f>_xlfn.XLOOKUP(L501,'Campaign Metadata'!$A$2:$A$6,'Campaign Metadata'!$B$2:$B$6)</f>
        <v>45901</v>
      </c>
      <c r="O501" s="5">
        <f>_xlfn.XLOOKUP(L501,'Campaign Metadata'!$A$2:$A$6,'Campaign Metadata'!$C$2:$C$6)</f>
        <v>45930</v>
      </c>
      <c r="P501" t="str">
        <f t="shared" si="7"/>
        <v>During</v>
      </c>
    </row>
    <row r="502" spans="1:16" x14ac:dyDescent="0.3">
      <c r="A502" t="s">
        <v>78</v>
      </c>
      <c r="B502" s="21" t="s">
        <v>32</v>
      </c>
      <c r="C502" s="5">
        <v>45920</v>
      </c>
      <c r="D502" s="21" t="s">
        <v>26</v>
      </c>
      <c r="E502" s="21" t="s">
        <v>13</v>
      </c>
      <c r="F502" s="22">
        <v>18633</v>
      </c>
      <c r="G502" s="22">
        <v>797</v>
      </c>
      <c r="H502" s="22">
        <v>303</v>
      </c>
      <c r="I502" s="22">
        <v>659</v>
      </c>
      <c r="J502" s="22">
        <v>7</v>
      </c>
      <c r="K502" s="22">
        <v>122189</v>
      </c>
      <c r="L502" s="21" t="s">
        <v>71</v>
      </c>
      <c r="M502" s="4">
        <v>0.16149571565361859</v>
      </c>
      <c r="N502" s="5">
        <f>_xlfn.XLOOKUP(L502,'Campaign Metadata'!$A$2:$A$6,'Campaign Metadata'!$B$2:$B$6)</f>
        <v>45901</v>
      </c>
      <c r="O502" s="5">
        <f>_xlfn.XLOOKUP(L502,'Campaign Metadata'!$A$2:$A$6,'Campaign Metadata'!$C$2:$C$6)</f>
        <v>45930</v>
      </c>
      <c r="P502" t="str">
        <f t="shared" si="7"/>
        <v>During</v>
      </c>
    </row>
    <row r="503" spans="1:16" x14ac:dyDescent="0.3">
      <c r="A503" t="s">
        <v>321</v>
      </c>
      <c r="B503" s="21" t="s">
        <v>29</v>
      </c>
      <c r="C503" s="5">
        <v>45920</v>
      </c>
      <c r="D503" s="21" t="s">
        <v>26</v>
      </c>
      <c r="E503" s="21" t="s">
        <v>7</v>
      </c>
      <c r="F503" s="22">
        <v>12267</v>
      </c>
      <c r="G503" s="22">
        <v>1487</v>
      </c>
      <c r="H503" s="22">
        <v>489</v>
      </c>
      <c r="I503" s="22">
        <v>2748</v>
      </c>
      <c r="J503" s="22">
        <v>34685</v>
      </c>
      <c r="K503" s="22">
        <v>131736</v>
      </c>
      <c r="L503" s="21" t="s">
        <v>71</v>
      </c>
      <c r="M503" s="4">
        <v>0.1081177506528208</v>
      </c>
      <c r="N503" s="5">
        <f>_xlfn.XLOOKUP(L503,'Campaign Metadata'!$A$2:$A$6,'Campaign Metadata'!$B$2:$B$6)</f>
        <v>45901</v>
      </c>
      <c r="O503" s="5">
        <f>_xlfn.XLOOKUP(L503,'Campaign Metadata'!$A$2:$A$6,'Campaign Metadata'!$C$2:$C$6)</f>
        <v>45930</v>
      </c>
      <c r="P503" t="str">
        <f t="shared" si="7"/>
        <v>During</v>
      </c>
    </row>
    <row r="504" spans="1:16" x14ac:dyDescent="0.3">
      <c r="A504" t="s">
        <v>321</v>
      </c>
      <c r="B504" s="21" t="s">
        <v>29</v>
      </c>
      <c r="C504" s="5">
        <v>45920</v>
      </c>
      <c r="D504" s="21" t="s">
        <v>26</v>
      </c>
      <c r="E504" s="21" t="s">
        <v>9</v>
      </c>
      <c r="F504" s="22">
        <v>12267</v>
      </c>
      <c r="G504" s="22">
        <v>1487</v>
      </c>
      <c r="H504" s="22">
        <v>489</v>
      </c>
      <c r="I504" s="22">
        <v>2748</v>
      </c>
      <c r="J504" s="22">
        <v>34685</v>
      </c>
      <c r="K504" s="22">
        <v>131736</v>
      </c>
      <c r="L504" s="21" t="s">
        <v>71</v>
      </c>
      <c r="M504" s="4">
        <v>0.1081177506528208</v>
      </c>
      <c r="N504" s="5">
        <f>_xlfn.XLOOKUP(L504,'Campaign Metadata'!$A$2:$A$6,'Campaign Metadata'!$B$2:$B$6)</f>
        <v>45901</v>
      </c>
      <c r="O504" s="5">
        <f>_xlfn.XLOOKUP(L504,'Campaign Metadata'!$A$2:$A$6,'Campaign Metadata'!$C$2:$C$6)</f>
        <v>45930</v>
      </c>
      <c r="P504" t="str">
        <f t="shared" si="7"/>
        <v>During</v>
      </c>
    </row>
    <row r="505" spans="1:16" x14ac:dyDescent="0.3">
      <c r="A505" t="s">
        <v>324</v>
      </c>
      <c r="B505" s="21" t="s">
        <v>30</v>
      </c>
      <c r="C505" s="5">
        <v>45920</v>
      </c>
      <c r="D505" s="21" t="s">
        <v>26</v>
      </c>
      <c r="E505" s="21" t="s">
        <v>18</v>
      </c>
      <c r="F505" s="22">
        <v>24422</v>
      </c>
      <c r="G505" s="22">
        <v>327</v>
      </c>
      <c r="H505" s="22">
        <v>481</v>
      </c>
      <c r="I505" s="22">
        <v>2371</v>
      </c>
      <c r="J505" s="22">
        <v>35340</v>
      </c>
      <c r="K505" s="22">
        <v>245244</v>
      </c>
      <c r="L505" s="21" t="s">
        <v>71</v>
      </c>
      <c r="M505" s="4">
        <v>0.10287713460879777</v>
      </c>
      <c r="N505" s="5">
        <f>_xlfn.XLOOKUP(L505,'Campaign Metadata'!$A$2:$A$6,'Campaign Metadata'!$B$2:$B$6)</f>
        <v>45901</v>
      </c>
      <c r="O505" s="5">
        <f>_xlfn.XLOOKUP(L505,'Campaign Metadata'!$A$2:$A$6,'Campaign Metadata'!$C$2:$C$6)</f>
        <v>45930</v>
      </c>
      <c r="P505" t="str">
        <f t="shared" si="7"/>
        <v>During</v>
      </c>
    </row>
    <row r="506" spans="1:16" x14ac:dyDescent="0.3">
      <c r="A506" t="s">
        <v>309</v>
      </c>
      <c r="B506" s="21" t="s">
        <v>29</v>
      </c>
      <c r="C506" s="5">
        <v>45921</v>
      </c>
      <c r="D506" s="21" t="s">
        <v>28</v>
      </c>
      <c r="E506" s="21" t="s">
        <v>10</v>
      </c>
      <c r="F506" s="22">
        <v>23103</v>
      </c>
      <c r="G506" s="22">
        <v>1380</v>
      </c>
      <c r="H506" s="22">
        <v>191</v>
      </c>
      <c r="I506" s="22">
        <v>1547</v>
      </c>
      <c r="J506" s="22">
        <v>77798</v>
      </c>
      <c r="K506" s="22">
        <v>148856</v>
      </c>
      <c r="L506" s="21" t="s">
        <v>71</v>
      </c>
      <c r="M506" s="4">
        <v>0.16575751061428495</v>
      </c>
      <c r="N506" s="5">
        <f>_xlfn.XLOOKUP(L506,'Campaign Metadata'!$A$2:$A$6,'Campaign Metadata'!$B$2:$B$6)</f>
        <v>45901</v>
      </c>
      <c r="O506" s="5">
        <f>_xlfn.XLOOKUP(L506,'Campaign Metadata'!$A$2:$A$6,'Campaign Metadata'!$C$2:$C$6)</f>
        <v>45930</v>
      </c>
      <c r="P506" t="str">
        <f t="shared" si="7"/>
        <v>During</v>
      </c>
    </row>
    <row r="507" spans="1:16" x14ac:dyDescent="0.3">
      <c r="A507" t="s">
        <v>309</v>
      </c>
      <c r="B507" s="21" t="s">
        <v>29</v>
      </c>
      <c r="C507" s="5">
        <v>45921</v>
      </c>
      <c r="D507" s="21" t="s">
        <v>28</v>
      </c>
      <c r="E507" s="21" t="s">
        <v>8</v>
      </c>
      <c r="F507" s="22">
        <v>23103</v>
      </c>
      <c r="G507" s="22">
        <v>1380</v>
      </c>
      <c r="H507" s="22">
        <v>191</v>
      </c>
      <c r="I507" s="22">
        <v>1547</v>
      </c>
      <c r="J507" s="22">
        <v>77798</v>
      </c>
      <c r="K507" s="22">
        <v>148856</v>
      </c>
      <c r="L507" s="21" t="s">
        <v>71</v>
      </c>
      <c r="M507" s="4">
        <v>0.16575751061428495</v>
      </c>
      <c r="N507" s="5">
        <f>_xlfn.XLOOKUP(L507,'Campaign Metadata'!$A$2:$A$6,'Campaign Metadata'!$B$2:$B$6)</f>
        <v>45901</v>
      </c>
      <c r="O507" s="5">
        <f>_xlfn.XLOOKUP(L507,'Campaign Metadata'!$A$2:$A$6,'Campaign Metadata'!$C$2:$C$6)</f>
        <v>45930</v>
      </c>
      <c r="P507" t="str">
        <f t="shared" si="7"/>
        <v>During</v>
      </c>
    </row>
    <row r="508" spans="1:16" x14ac:dyDescent="0.3">
      <c r="A508" t="s">
        <v>308</v>
      </c>
      <c r="B508" s="21" t="s">
        <v>30</v>
      </c>
      <c r="C508" s="5">
        <v>45921</v>
      </c>
      <c r="D508" s="21" t="s">
        <v>26</v>
      </c>
      <c r="E508" s="21" t="s">
        <v>19</v>
      </c>
      <c r="F508" s="22">
        <v>19680</v>
      </c>
      <c r="G508" s="22">
        <v>999</v>
      </c>
      <c r="H508" s="22">
        <v>838</v>
      </c>
      <c r="I508" s="22">
        <v>891</v>
      </c>
      <c r="J508" s="22">
        <v>29576</v>
      </c>
      <c r="K508" s="22">
        <v>129152</v>
      </c>
      <c r="L508" s="21" t="s">
        <v>71</v>
      </c>
      <c r="M508" s="4">
        <v>0.16660214321110009</v>
      </c>
      <c r="N508" s="5">
        <f>_xlfn.XLOOKUP(L508,'Campaign Metadata'!$A$2:$A$6,'Campaign Metadata'!$B$2:$B$6)</f>
        <v>45901</v>
      </c>
      <c r="O508" s="5">
        <f>_xlfn.XLOOKUP(L508,'Campaign Metadata'!$A$2:$A$6,'Campaign Metadata'!$C$2:$C$6)</f>
        <v>45930</v>
      </c>
      <c r="P508" t="str">
        <f t="shared" si="7"/>
        <v>During</v>
      </c>
    </row>
    <row r="509" spans="1:16" x14ac:dyDescent="0.3">
      <c r="A509" t="s">
        <v>308</v>
      </c>
      <c r="B509" s="21" t="s">
        <v>30</v>
      </c>
      <c r="C509" s="5">
        <v>45921</v>
      </c>
      <c r="D509" s="21" t="s">
        <v>26</v>
      </c>
      <c r="E509" s="21" t="s">
        <v>2</v>
      </c>
      <c r="F509" s="22">
        <v>19680</v>
      </c>
      <c r="G509" s="22">
        <v>999</v>
      </c>
      <c r="H509" s="22">
        <v>838</v>
      </c>
      <c r="I509" s="22">
        <v>891</v>
      </c>
      <c r="J509" s="22">
        <v>29576</v>
      </c>
      <c r="K509" s="22">
        <v>129152</v>
      </c>
      <c r="L509" s="21" t="s">
        <v>71</v>
      </c>
      <c r="M509" s="4">
        <v>0.16660214321110009</v>
      </c>
      <c r="N509" s="5">
        <f>_xlfn.XLOOKUP(L509,'Campaign Metadata'!$A$2:$A$6,'Campaign Metadata'!$B$2:$B$6)</f>
        <v>45901</v>
      </c>
      <c r="O509" s="5">
        <f>_xlfn.XLOOKUP(L509,'Campaign Metadata'!$A$2:$A$6,'Campaign Metadata'!$C$2:$C$6)</f>
        <v>45930</v>
      </c>
      <c r="P509" t="str">
        <f t="shared" si="7"/>
        <v>During</v>
      </c>
    </row>
    <row r="510" spans="1:16" x14ac:dyDescent="0.3">
      <c r="A510" t="s">
        <v>347</v>
      </c>
      <c r="B510" s="21" t="s">
        <v>32</v>
      </c>
      <c r="C510" s="5">
        <v>45922</v>
      </c>
      <c r="D510" s="21" t="s">
        <v>28</v>
      </c>
      <c r="E510" s="21" t="s">
        <v>2</v>
      </c>
      <c r="F510" s="22">
        <v>8996</v>
      </c>
      <c r="G510" s="22">
        <v>329</v>
      </c>
      <c r="H510" s="22">
        <v>378</v>
      </c>
      <c r="I510" s="22">
        <v>2384</v>
      </c>
      <c r="J510" s="22">
        <v>39404</v>
      </c>
      <c r="K510" s="22">
        <v>242724</v>
      </c>
      <c r="L510" s="21" t="s">
        <v>71</v>
      </c>
      <c r="M510" s="4">
        <v>3.9975445361810122E-2</v>
      </c>
      <c r="N510" s="5">
        <f>_xlfn.XLOOKUP(L510,'Campaign Metadata'!$A$2:$A$6,'Campaign Metadata'!$B$2:$B$6)</f>
        <v>45901</v>
      </c>
      <c r="O510" s="5">
        <f>_xlfn.XLOOKUP(L510,'Campaign Metadata'!$A$2:$A$6,'Campaign Metadata'!$C$2:$C$6)</f>
        <v>45930</v>
      </c>
      <c r="P510" t="str">
        <f t="shared" si="7"/>
        <v>During</v>
      </c>
    </row>
    <row r="511" spans="1:16" x14ac:dyDescent="0.3">
      <c r="A511" t="s">
        <v>347</v>
      </c>
      <c r="B511" s="21" t="s">
        <v>32</v>
      </c>
      <c r="C511" s="5">
        <v>45922</v>
      </c>
      <c r="D511" s="21" t="s">
        <v>28</v>
      </c>
      <c r="E511" s="21" t="s">
        <v>19</v>
      </c>
      <c r="F511" s="22">
        <v>8996</v>
      </c>
      <c r="G511" s="22">
        <v>329</v>
      </c>
      <c r="H511" s="22">
        <v>378</v>
      </c>
      <c r="I511" s="22">
        <v>2384</v>
      </c>
      <c r="J511" s="22">
        <v>39404</v>
      </c>
      <c r="K511" s="22">
        <v>242724</v>
      </c>
      <c r="L511" s="21" t="s">
        <v>71</v>
      </c>
      <c r="M511" s="4">
        <v>3.9975445361810122E-2</v>
      </c>
      <c r="N511" s="5">
        <f>_xlfn.XLOOKUP(L511,'Campaign Metadata'!$A$2:$A$6,'Campaign Metadata'!$B$2:$B$6)</f>
        <v>45901</v>
      </c>
      <c r="O511" s="5">
        <f>_xlfn.XLOOKUP(L511,'Campaign Metadata'!$A$2:$A$6,'Campaign Metadata'!$C$2:$C$6)</f>
        <v>45930</v>
      </c>
      <c r="P511" t="str">
        <f t="shared" si="7"/>
        <v>During</v>
      </c>
    </row>
    <row r="512" spans="1:16" x14ac:dyDescent="0.3">
      <c r="A512" t="s">
        <v>317</v>
      </c>
      <c r="B512" s="21" t="s">
        <v>29</v>
      </c>
      <c r="C512" s="5">
        <v>45922</v>
      </c>
      <c r="D512" s="21" t="s">
        <v>25</v>
      </c>
      <c r="E512" s="21" t="s">
        <v>18</v>
      </c>
      <c r="F512" s="22">
        <v>18509</v>
      </c>
      <c r="G512" s="22">
        <v>361</v>
      </c>
      <c r="H512" s="22">
        <v>578</v>
      </c>
      <c r="I512" s="22">
        <v>1409</v>
      </c>
      <c r="J512" s="22">
        <v>10569</v>
      </c>
      <c r="K512" s="22">
        <v>166969</v>
      </c>
      <c r="L512" s="21" t="s">
        <v>71</v>
      </c>
      <c r="M512" s="4">
        <v>0.11647671124580011</v>
      </c>
      <c r="N512" s="5">
        <f>_xlfn.XLOOKUP(L512,'Campaign Metadata'!$A$2:$A$6,'Campaign Metadata'!$B$2:$B$6)</f>
        <v>45901</v>
      </c>
      <c r="O512" s="5">
        <f>_xlfn.XLOOKUP(L512,'Campaign Metadata'!$A$2:$A$6,'Campaign Metadata'!$C$2:$C$6)</f>
        <v>45930</v>
      </c>
      <c r="P512" t="str">
        <f t="shared" si="7"/>
        <v>During</v>
      </c>
    </row>
    <row r="513" spans="1:16" x14ac:dyDescent="0.3">
      <c r="A513" t="s">
        <v>337</v>
      </c>
      <c r="B513" s="21" t="s">
        <v>30</v>
      </c>
      <c r="C513" s="5">
        <v>45923</v>
      </c>
      <c r="D513" s="21" t="s">
        <v>26</v>
      </c>
      <c r="E513" s="21" t="s">
        <v>19</v>
      </c>
      <c r="F513" s="22">
        <v>10017</v>
      </c>
      <c r="G513" s="22">
        <v>1357</v>
      </c>
      <c r="H513" s="22">
        <v>966</v>
      </c>
      <c r="I513" s="22">
        <v>2871</v>
      </c>
      <c r="J513" s="22">
        <v>14800</v>
      </c>
      <c r="K513" s="22">
        <v>171691</v>
      </c>
      <c r="L513" s="21" t="s">
        <v>71</v>
      </c>
      <c r="M513" s="4">
        <v>7.1873307278774071E-2</v>
      </c>
      <c r="N513" s="5">
        <f>_xlfn.XLOOKUP(L513,'Campaign Metadata'!$A$2:$A$6,'Campaign Metadata'!$B$2:$B$6)</f>
        <v>45901</v>
      </c>
      <c r="O513" s="5">
        <f>_xlfn.XLOOKUP(L513,'Campaign Metadata'!$A$2:$A$6,'Campaign Metadata'!$C$2:$C$6)</f>
        <v>45930</v>
      </c>
      <c r="P513" t="str">
        <f t="shared" si="7"/>
        <v>During</v>
      </c>
    </row>
    <row r="514" spans="1:16" x14ac:dyDescent="0.3">
      <c r="A514" t="s">
        <v>337</v>
      </c>
      <c r="B514" s="21" t="s">
        <v>30</v>
      </c>
      <c r="C514" s="5">
        <v>45923</v>
      </c>
      <c r="D514" s="21" t="s">
        <v>26</v>
      </c>
      <c r="E514" s="21" t="s">
        <v>2</v>
      </c>
      <c r="F514" s="22">
        <v>10017</v>
      </c>
      <c r="G514" s="22">
        <v>1357</v>
      </c>
      <c r="H514" s="22">
        <v>966</v>
      </c>
      <c r="I514" s="22">
        <v>2871</v>
      </c>
      <c r="J514" s="22">
        <v>14800</v>
      </c>
      <c r="K514" s="22">
        <v>171691</v>
      </c>
      <c r="L514" s="21" t="s">
        <v>71</v>
      </c>
      <c r="M514" s="4">
        <v>7.1873307278774071E-2</v>
      </c>
      <c r="N514" s="5">
        <f>_xlfn.XLOOKUP(L514,'Campaign Metadata'!$A$2:$A$6,'Campaign Metadata'!$B$2:$B$6)</f>
        <v>45901</v>
      </c>
      <c r="O514" s="5">
        <f>_xlfn.XLOOKUP(L514,'Campaign Metadata'!$A$2:$A$6,'Campaign Metadata'!$C$2:$C$6)</f>
        <v>45930</v>
      </c>
      <c r="P514" t="str">
        <f t="shared" si="7"/>
        <v>During</v>
      </c>
    </row>
    <row r="515" spans="1:16" x14ac:dyDescent="0.3">
      <c r="A515" t="s">
        <v>87</v>
      </c>
      <c r="B515" s="21" t="s">
        <v>30</v>
      </c>
      <c r="C515" s="5">
        <v>45923</v>
      </c>
      <c r="D515" s="21" t="s">
        <v>27</v>
      </c>
      <c r="E515" s="21" t="s">
        <v>3</v>
      </c>
      <c r="F515" s="22">
        <v>17147</v>
      </c>
      <c r="G515" s="22">
        <v>286</v>
      </c>
      <c r="H515" s="22">
        <v>291</v>
      </c>
      <c r="I515" s="22">
        <v>2439</v>
      </c>
      <c r="J515" s="22">
        <v>45631</v>
      </c>
      <c r="K515" s="22">
        <v>140494</v>
      </c>
      <c r="L515" s="21" t="s">
        <v>71</v>
      </c>
      <c r="M515" s="4">
        <v>0.12615485358805359</v>
      </c>
      <c r="N515" s="5">
        <f>_xlfn.XLOOKUP(L515,'Campaign Metadata'!$A$2:$A$6,'Campaign Metadata'!$B$2:$B$6)</f>
        <v>45901</v>
      </c>
      <c r="O515" s="5">
        <f>_xlfn.XLOOKUP(L515,'Campaign Metadata'!$A$2:$A$6,'Campaign Metadata'!$C$2:$C$6)</f>
        <v>45930</v>
      </c>
      <c r="P515" t="str">
        <f t="shared" ref="P515:P568" si="8">IF(C515&lt;N515, "Before", IF(C515&gt;O515, "After", "During"))</f>
        <v>During</v>
      </c>
    </row>
    <row r="516" spans="1:16" x14ac:dyDescent="0.3">
      <c r="A516" t="s">
        <v>87</v>
      </c>
      <c r="B516" s="21" t="s">
        <v>30</v>
      </c>
      <c r="C516" s="5">
        <v>45923</v>
      </c>
      <c r="D516" s="21" t="s">
        <v>27</v>
      </c>
      <c r="E516" s="21" t="s">
        <v>13</v>
      </c>
      <c r="F516" s="22">
        <v>17147</v>
      </c>
      <c r="G516" s="22">
        <v>286</v>
      </c>
      <c r="H516" s="22">
        <v>291</v>
      </c>
      <c r="I516" s="22">
        <v>2439</v>
      </c>
      <c r="J516" s="22">
        <v>45631</v>
      </c>
      <c r="K516" s="22">
        <v>140494</v>
      </c>
      <c r="L516" s="21" t="s">
        <v>71</v>
      </c>
      <c r="M516" s="4">
        <v>0.12615485358805359</v>
      </c>
      <c r="N516" s="5">
        <f>_xlfn.XLOOKUP(L516,'Campaign Metadata'!$A$2:$A$6,'Campaign Metadata'!$B$2:$B$6)</f>
        <v>45901</v>
      </c>
      <c r="O516" s="5">
        <f>_xlfn.XLOOKUP(L516,'Campaign Metadata'!$A$2:$A$6,'Campaign Metadata'!$C$2:$C$6)</f>
        <v>45930</v>
      </c>
      <c r="P516" t="str">
        <f t="shared" si="8"/>
        <v>During</v>
      </c>
    </row>
    <row r="517" spans="1:16" x14ac:dyDescent="0.3">
      <c r="A517" t="s">
        <v>307</v>
      </c>
      <c r="B517" s="21" t="s">
        <v>30</v>
      </c>
      <c r="C517" s="5">
        <v>45924</v>
      </c>
      <c r="D517" s="21" t="s">
        <v>27</v>
      </c>
      <c r="E517" s="21" t="s">
        <v>6</v>
      </c>
      <c r="F517" s="22">
        <v>12209</v>
      </c>
      <c r="G517" s="22">
        <v>222</v>
      </c>
      <c r="H517" s="22">
        <v>479</v>
      </c>
      <c r="I517" s="22">
        <v>2748</v>
      </c>
      <c r="J517" s="22">
        <v>24615</v>
      </c>
      <c r="K517" s="22">
        <v>74707</v>
      </c>
      <c r="L517" s="21" t="s">
        <v>71</v>
      </c>
      <c r="M517" s="4">
        <v>0.17280843829895459</v>
      </c>
      <c r="N517" s="5">
        <f>_xlfn.XLOOKUP(L517,'Campaign Metadata'!$A$2:$A$6,'Campaign Metadata'!$B$2:$B$6)</f>
        <v>45901</v>
      </c>
      <c r="O517" s="5">
        <f>_xlfn.XLOOKUP(L517,'Campaign Metadata'!$A$2:$A$6,'Campaign Metadata'!$C$2:$C$6)</f>
        <v>45930</v>
      </c>
      <c r="P517" t="str">
        <f t="shared" si="8"/>
        <v>During</v>
      </c>
    </row>
    <row r="518" spans="1:16" x14ac:dyDescent="0.3">
      <c r="A518" t="s">
        <v>307</v>
      </c>
      <c r="B518" s="21" t="s">
        <v>30</v>
      </c>
      <c r="C518" s="5">
        <v>45924</v>
      </c>
      <c r="D518" s="21" t="s">
        <v>27</v>
      </c>
      <c r="E518" s="21" t="s">
        <v>5</v>
      </c>
      <c r="F518" s="22">
        <v>12209</v>
      </c>
      <c r="G518" s="22">
        <v>222</v>
      </c>
      <c r="H518" s="22">
        <v>479</v>
      </c>
      <c r="I518" s="22">
        <v>2748</v>
      </c>
      <c r="J518" s="22">
        <v>24615</v>
      </c>
      <c r="K518" s="22">
        <v>74707</v>
      </c>
      <c r="L518" s="21" t="s">
        <v>71</v>
      </c>
      <c r="M518" s="4">
        <v>0.17280843829895459</v>
      </c>
      <c r="N518" s="5">
        <f>_xlfn.XLOOKUP(L518,'Campaign Metadata'!$A$2:$A$6,'Campaign Metadata'!$B$2:$B$6)</f>
        <v>45901</v>
      </c>
      <c r="O518" s="5">
        <f>_xlfn.XLOOKUP(L518,'Campaign Metadata'!$A$2:$A$6,'Campaign Metadata'!$C$2:$C$6)</f>
        <v>45930</v>
      </c>
      <c r="P518" t="str">
        <f t="shared" si="8"/>
        <v>During</v>
      </c>
    </row>
    <row r="519" spans="1:16" x14ac:dyDescent="0.3">
      <c r="A519" t="s">
        <v>335</v>
      </c>
      <c r="B519" s="21" t="s">
        <v>32</v>
      </c>
      <c r="C519" s="5">
        <v>45924</v>
      </c>
      <c r="D519" s="21" t="s">
        <v>26</v>
      </c>
      <c r="E519" s="21" t="s">
        <v>17</v>
      </c>
      <c r="F519" s="22">
        <v>11795</v>
      </c>
      <c r="G519" s="22">
        <v>958</v>
      </c>
      <c r="H519" s="22">
        <v>814</v>
      </c>
      <c r="I519" s="22">
        <v>301</v>
      </c>
      <c r="J519" s="22">
        <v>12564</v>
      </c>
      <c r="K519" s="22">
        <v>179999</v>
      </c>
      <c r="L519" s="21" t="s">
        <v>71</v>
      </c>
      <c r="M519" s="4">
        <v>7.5372640959116444E-2</v>
      </c>
      <c r="N519" s="5">
        <f>_xlfn.XLOOKUP(L519,'Campaign Metadata'!$A$2:$A$6,'Campaign Metadata'!$B$2:$B$6)</f>
        <v>45901</v>
      </c>
      <c r="O519" s="5">
        <f>_xlfn.XLOOKUP(L519,'Campaign Metadata'!$A$2:$A$6,'Campaign Metadata'!$C$2:$C$6)</f>
        <v>45930</v>
      </c>
      <c r="P519" t="str">
        <f t="shared" si="8"/>
        <v>During</v>
      </c>
    </row>
    <row r="520" spans="1:16" x14ac:dyDescent="0.3">
      <c r="A520" t="s">
        <v>131</v>
      </c>
      <c r="B520" s="21" t="s">
        <v>32</v>
      </c>
      <c r="C520" s="5">
        <v>45924</v>
      </c>
      <c r="D520" s="21" t="s">
        <v>27</v>
      </c>
      <c r="E520" s="21" t="s">
        <v>3</v>
      </c>
      <c r="F520" s="22">
        <v>3342</v>
      </c>
      <c r="G520" s="22">
        <v>787</v>
      </c>
      <c r="H520" s="22">
        <v>375</v>
      </c>
      <c r="I520" s="22">
        <v>907</v>
      </c>
      <c r="J520" s="22">
        <v>85823</v>
      </c>
      <c r="K520" s="22">
        <v>99189</v>
      </c>
      <c r="L520" s="21" t="s">
        <v>71</v>
      </c>
      <c r="M520" s="4">
        <v>4.5408260996683103E-2</v>
      </c>
      <c r="N520" s="5">
        <f>_xlfn.XLOOKUP(L520,'Campaign Metadata'!$A$2:$A$6,'Campaign Metadata'!$B$2:$B$6)</f>
        <v>45901</v>
      </c>
      <c r="O520" s="5">
        <f>_xlfn.XLOOKUP(L520,'Campaign Metadata'!$A$2:$A$6,'Campaign Metadata'!$C$2:$C$6)</f>
        <v>45930</v>
      </c>
      <c r="P520" t="str">
        <f t="shared" si="8"/>
        <v>During</v>
      </c>
    </row>
    <row r="521" spans="1:16" x14ac:dyDescent="0.3">
      <c r="A521" t="s">
        <v>131</v>
      </c>
      <c r="B521" s="21" t="s">
        <v>32</v>
      </c>
      <c r="C521" s="5">
        <v>45924</v>
      </c>
      <c r="D521" s="21" t="s">
        <v>27</v>
      </c>
      <c r="E521" s="21" t="s">
        <v>14</v>
      </c>
      <c r="F521" s="22">
        <v>3342</v>
      </c>
      <c r="G521" s="22">
        <v>787</v>
      </c>
      <c r="H521" s="22">
        <v>375</v>
      </c>
      <c r="I521" s="22">
        <v>907</v>
      </c>
      <c r="J521" s="22">
        <v>85823</v>
      </c>
      <c r="K521" s="22">
        <v>99189</v>
      </c>
      <c r="L521" s="21" t="s">
        <v>71</v>
      </c>
      <c r="M521" s="4">
        <v>4.5408260996683103E-2</v>
      </c>
      <c r="N521" s="5">
        <f>_xlfn.XLOOKUP(L521,'Campaign Metadata'!$A$2:$A$6,'Campaign Metadata'!$B$2:$B$6)</f>
        <v>45901</v>
      </c>
      <c r="O521" s="5">
        <f>_xlfn.XLOOKUP(L521,'Campaign Metadata'!$A$2:$A$6,'Campaign Metadata'!$C$2:$C$6)</f>
        <v>45930</v>
      </c>
      <c r="P521" t="str">
        <f t="shared" si="8"/>
        <v>During</v>
      </c>
    </row>
    <row r="522" spans="1:16" x14ac:dyDescent="0.3">
      <c r="A522" t="s">
        <v>315</v>
      </c>
      <c r="B522" s="21" t="s">
        <v>29</v>
      </c>
      <c r="C522" s="5">
        <v>45925</v>
      </c>
      <c r="D522" s="21" t="s">
        <v>26</v>
      </c>
      <c r="E522" s="21" t="s">
        <v>18</v>
      </c>
      <c r="F522" s="22">
        <v>20564</v>
      </c>
      <c r="G522" s="22">
        <v>1433</v>
      </c>
      <c r="H522" s="22">
        <v>488</v>
      </c>
      <c r="I522" s="22">
        <v>1015</v>
      </c>
      <c r="J522" s="22">
        <v>24333</v>
      </c>
      <c r="K522" s="22">
        <v>172130</v>
      </c>
      <c r="L522" s="21" t="s">
        <v>71</v>
      </c>
      <c r="M522" s="4">
        <v>0.13062801371056759</v>
      </c>
      <c r="N522" s="5">
        <f>_xlfn.XLOOKUP(L522,'Campaign Metadata'!$A$2:$A$6,'Campaign Metadata'!$B$2:$B$6)</f>
        <v>45901</v>
      </c>
      <c r="O522" s="5">
        <f>_xlfn.XLOOKUP(L522,'Campaign Metadata'!$A$2:$A$6,'Campaign Metadata'!$C$2:$C$6)</f>
        <v>45930</v>
      </c>
      <c r="P522" t="str">
        <f t="shared" si="8"/>
        <v>During</v>
      </c>
    </row>
    <row r="523" spans="1:16" x14ac:dyDescent="0.3">
      <c r="A523" t="s">
        <v>332</v>
      </c>
      <c r="B523" s="21" t="s">
        <v>32</v>
      </c>
      <c r="C523" s="5">
        <v>45925</v>
      </c>
      <c r="D523" s="21" t="s">
        <v>28</v>
      </c>
      <c r="E523" s="21" t="s">
        <v>18</v>
      </c>
      <c r="F523" s="22">
        <v>8371</v>
      </c>
      <c r="G523" s="22">
        <v>960</v>
      </c>
      <c r="H523" s="22">
        <v>548</v>
      </c>
      <c r="I523" s="22">
        <v>2936</v>
      </c>
      <c r="J523" s="22">
        <v>82543</v>
      </c>
      <c r="K523" s="22">
        <v>119973</v>
      </c>
      <c r="L523" s="21" t="s">
        <v>71</v>
      </c>
      <c r="M523" s="4">
        <v>8.2343527293641069E-2</v>
      </c>
      <c r="N523" s="5">
        <f>_xlfn.XLOOKUP(L523,'Campaign Metadata'!$A$2:$A$6,'Campaign Metadata'!$B$2:$B$6)</f>
        <v>45901</v>
      </c>
      <c r="O523" s="5">
        <f>_xlfn.XLOOKUP(L523,'Campaign Metadata'!$A$2:$A$6,'Campaign Metadata'!$C$2:$C$6)</f>
        <v>45930</v>
      </c>
      <c r="P523" t="str">
        <f t="shared" si="8"/>
        <v>During</v>
      </c>
    </row>
    <row r="524" spans="1:16" x14ac:dyDescent="0.3">
      <c r="A524" t="s">
        <v>332</v>
      </c>
      <c r="B524" s="21" t="s">
        <v>32</v>
      </c>
      <c r="C524" s="5">
        <v>45925</v>
      </c>
      <c r="D524" s="21" t="s">
        <v>28</v>
      </c>
      <c r="E524" s="21" t="s">
        <v>15</v>
      </c>
      <c r="F524" s="22">
        <v>8371</v>
      </c>
      <c r="G524" s="22">
        <v>960</v>
      </c>
      <c r="H524" s="22">
        <v>548</v>
      </c>
      <c r="I524" s="22">
        <v>2936</v>
      </c>
      <c r="J524" s="22">
        <v>82543</v>
      </c>
      <c r="K524" s="22">
        <v>119973</v>
      </c>
      <c r="L524" s="21" t="s">
        <v>71</v>
      </c>
      <c r="M524" s="4">
        <v>8.2343527293641069E-2</v>
      </c>
      <c r="N524" s="5">
        <f>_xlfn.XLOOKUP(L524,'Campaign Metadata'!$A$2:$A$6,'Campaign Metadata'!$B$2:$B$6)</f>
        <v>45901</v>
      </c>
      <c r="O524" s="5">
        <f>_xlfn.XLOOKUP(L524,'Campaign Metadata'!$A$2:$A$6,'Campaign Metadata'!$C$2:$C$6)</f>
        <v>45930</v>
      </c>
      <c r="P524" t="str">
        <f t="shared" si="8"/>
        <v>During</v>
      </c>
    </row>
    <row r="525" spans="1:16" x14ac:dyDescent="0.3">
      <c r="A525" t="s">
        <v>340</v>
      </c>
      <c r="B525" s="21" t="s">
        <v>29</v>
      </c>
      <c r="C525" s="5">
        <v>45925</v>
      </c>
      <c r="D525" s="21" t="s">
        <v>25</v>
      </c>
      <c r="E525" s="21" t="s">
        <v>18</v>
      </c>
      <c r="F525" s="22">
        <v>12568</v>
      </c>
      <c r="G525" s="22">
        <v>541</v>
      </c>
      <c r="H525" s="22">
        <v>273</v>
      </c>
      <c r="I525" s="22">
        <v>2767</v>
      </c>
      <c r="J525" s="22">
        <v>22331</v>
      </c>
      <c r="K525" s="22">
        <v>192747</v>
      </c>
      <c r="L525" s="21" t="s">
        <v>71</v>
      </c>
      <c r="M525" s="4">
        <v>6.9427799135654514E-2</v>
      </c>
      <c r="N525" s="5">
        <f>_xlfn.XLOOKUP(L525,'Campaign Metadata'!$A$2:$A$6,'Campaign Metadata'!$B$2:$B$6)</f>
        <v>45901</v>
      </c>
      <c r="O525" s="5">
        <f>_xlfn.XLOOKUP(L525,'Campaign Metadata'!$A$2:$A$6,'Campaign Metadata'!$C$2:$C$6)</f>
        <v>45930</v>
      </c>
      <c r="P525" t="str">
        <f t="shared" si="8"/>
        <v>During</v>
      </c>
    </row>
    <row r="526" spans="1:16" x14ac:dyDescent="0.3">
      <c r="A526" t="s">
        <v>340</v>
      </c>
      <c r="B526" s="21" t="s">
        <v>29</v>
      </c>
      <c r="C526" s="5">
        <v>45925</v>
      </c>
      <c r="D526" s="21" t="s">
        <v>25</v>
      </c>
      <c r="E526" s="21" t="s">
        <v>15</v>
      </c>
      <c r="F526" s="22">
        <v>12568</v>
      </c>
      <c r="G526" s="22">
        <v>541</v>
      </c>
      <c r="H526" s="22">
        <v>273</v>
      </c>
      <c r="I526" s="22">
        <v>2767</v>
      </c>
      <c r="J526" s="22">
        <v>22331</v>
      </c>
      <c r="K526" s="22">
        <v>192747</v>
      </c>
      <c r="L526" s="21" t="s">
        <v>71</v>
      </c>
      <c r="M526" s="4">
        <v>6.9427799135654514E-2</v>
      </c>
      <c r="N526" s="5">
        <f>_xlfn.XLOOKUP(L526,'Campaign Metadata'!$A$2:$A$6,'Campaign Metadata'!$B$2:$B$6)</f>
        <v>45901</v>
      </c>
      <c r="O526" s="5">
        <f>_xlfn.XLOOKUP(L526,'Campaign Metadata'!$A$2:$A$6,'Campaign Metadata'!$C$2:$C$6)</f>
        <v>45930</v>
      </c>
      <c r="P526" t="str">
        <f t="shared" si="8"/>
        <v>During</v>
      </c>
    </row>
    <row r="527" spans="1:16" x14ac:dyDescent="0.3">
      <c r="A527" t="s">
        <v>343</v>
      </c>
      <c r="B527" s="21" t="s">
        <v>31</v>
      </c>
      <c r="C527" s="5">
        <v>45926</v>
      </c>
      <c r="D527" s="21" t="s">
        <v>25</v>
      </c>
      <c r="E527" s="21" t="s">
        <v>18</v>
      </c>
      <c r="F527" s="22">
        <v>9043</v>
      </c>
      <c r="G527" s="22">
        <v>1192</v>
      </c>
      <c r="H527" s="22">
        <v>810</v>
      </c>
      <c r="I527" s="22">
        <v>1550</v>
      </c>
      <c r="J527" s="22">
        <v>5221</v>
      </c>
      <c r="K527" s="22">
        <v>199476</v>
      </c>
      <c r="L527" s="21" t="s">
        <v>71</v>
      </c>
      <c r="M527" s="4">
        <v>5.5370069582305642E-2</v>
      </c>
      <c r="N527" s="5">
        <f>_xlfn.XLOOKUP(L527,'Campaign Metadata'!$A$2:$A$6,'Campaign Metadata'!$B$2:$B$6)</f>
        <v>45901</v>
      </c>
      <c r="O527" s="5">
        <f>_xlfn.XLOOKUP(L527,'Campaign Metadata'!$A$2:$A$6,'Campaign Metadata'!$C$2:$C$6)</f>
        <v>45930</v>
      </c>
      <c r="P527" t="str">
        <f t="shared" si="8"/>
        <v>During</v>
      </c>
    </row>
    <row r="528" spans="1:16" x14ac:dyDescent="0.3">
      <c r="A528" t="s">
        <v>316</v>
      </c>
      <c r="B528" s="21" t="s">
        <v>30</v>
      </c>
      <c r="C528" s="5">
        <v>45926</v>
      </c>
      <c r="D528" s="21" t="s">
        <v>25</v>
      </c>
      <c r="E528" s="21" t="s">
        <v>10</v>
      </c>
      <c r="F528" s="22">
        <v>16369</v>
      </c>
      <c r="G528" s="22">
        <v>1452</v>
      </c>
      <c r="H528" s="22">
        <v>493</v>
      </c>
      <c r="I528" s="22">
        <v>1217</v>
      </c>
      <c r="J528" s="22">
        <v>91440</v>
      </c>
      <c r="K528" s="22">
        <v>149834</v>
      </c>
      <c r="L528" s="21" t="s">
        <v>71</v>
      </c>
      <c r="M528" s="4">
        <v>0.12222859965027964</v>
      </c>
      <c r="N528" s="5">
        <f>_xlfn.XLOOKUP(L528,'Campaign Metadata'!$A$2:$A$6,'Campaign Metadata'!$B$2:$B$6)</f>
        <v>45901</v>
      </c>
      <c r="O528" s="5">
        <f>_xlfn.XLOOKUP(L528,'Campaign Metadata'!$A$2:$A$6,'Campaign Metadata'!$C$2:$C$6)</f>
        <v>45930</v>
      </c>
      <c r="P528" t="str">
        <f t="shared" si="8"/>
        <v>During</v>
      </c>
    </row>
    <row r="529" spans="1:16" x14ac:dyDescent="0.3">
      <c r="A529" t="s">
        <v>316</v>
      </c>
      <c r="B529" s="21" t="s">
        <v>30</v>
      </c>
      <c r="C529" s="5">
        <v>45926</v>
      </c>
      <c r="D529" s="21" t="s">
        <v>25</v>
      </c>
      <c r="E529" s="21" t="s">
        <v>8</v>
      </c>
      <c r="F529" s="22">
        <v>16369</v>
      </c>
      <c r="G529" s="22">
        <v>1452</v>
      </c>
      <c r="H529" s="22">
        <v>493</v>
      </c>
      <c r="I529" s="22">
        <v>1217</v>
      </c>
      <c r="J529" s="22">
        <v>91440</v>
      </c>
      <c r="K529" s="22">
        <v>149834</v>
      </c>
      <c r="L529" s="21" t="s">
        <v>71</v>
      </c>
      <c r="M529" s="4">
        <v>0.12222859965027964</v>
      </c>
      <c r="N529" s="5">
        <f>_xlfn.XLOOKUP(L529,'Campaign Metadata'!$A$2:$A$6,'Campaign Metadata'!$B$2:$B$6)</f>
        <v>45901</v>
      </c>
      <c r="O529" s="5">
        <f>_xlfn.XLOOKUP(L529,'Campaign Metadata'!$A$2:$A$6,'Campaign Metadata'!$C$2:$C$6)</f>
        <v>45930</v>
      </c>
      <c r="P529" t="str">
        <f t="shared" si="8"/>
        <v>During</v>
      </c>
    </row>
    <row r="530" spans="1:16" x14ac:dyDescent="0.3">
      <c r="A530" t="s">
        <v>70</v>
      </c>
      <c r="B530" s="21" t="s">
        <v>30</v>
      </c>
      <c r="C530" s="5">
        <v>45926</v>
      </c>
      <c r="D530" s="21" t="s">
        <v>28</v>
      </c>
      <c r="E530" s="21" t="s">
        <v>3</v>
      </c>
      <c r="F530" s="22">
        <v>21216</v>
      </c>
      <c r="G530" s="22">
        <v>226</v>
      </c>
      <c r="H530" s="22">
        <v>187</v>
      </c>
      <c r="I530" s="22">
        <v>1573</v>
      </c>
      <c r="J530" s="22">
        <v>62688</v>
      </c>
      <c r="K530" s="22">
        <v>111031</v>
      </c>
      <c r="L530" s="21" t="s">
        <v>71</v>
      </c>
      <c r="M530" s="4">
        <v>0.19480145184678152</v>
      </c>
      <c r="N530" s="5">
        <f>_xlfn.XLOOKUP(L530,'Campaign Metadata'!$A$2:$A$6,'Campaign Metadata'!$B$2:$B$6)</f>
        <v>45901</v>
      </c>
      <c r="O530" s="5">
        <f>_xlfn.XLOOKUP(L530,'Campaign Metadata'!$A$2:$A$6,'Campaign Metadata'!$C$2:$C$6)</f>
        <v>45930</v>
      </c>
      <c r="P530" t="str">
        <f t="shared" si="8"/>
        <v>During</v>
      </c>
    </row>
    <row r="531" spans="1:16" x14ac:dyDescent="0.3">
      <c r="A531" t="s">
        <v>70</v>
      </c>
      <c r="B531" s="21" t="s">
        <v>30</v>
      </c>
      <c r="C531" s="5">
        <v>45926</v>
      </c>
      <c r="D531" s="21" t="s">
        <v>28</v>
      </c>
      <c r="E531" s="21" t="s">
        <v>14</v>
      </c>
      <c r="F531" s="22">
        <v>21216</v>
      </c>
      <c r="G531" s="22">
        <v>226</v>
      </c>
      <c r="H531" s="22">
        <v>187</v>
      </c>
      <c r="I531" s="22">
        <v>1573</v>
      </c>
      <c r="J531" s="22">
        <v>62688</v>
      </c>
      <c r="K531" s="22">
        <v>111031</v>
      </c>
      <c r="L531" s="21" t="s">
        <v>71</v>
      </c>
      <c r="M531" s="4">
        <v>0.19480145184678152</v>
      </c>
      <c r="N531" s="5">
        <f>_xlfn.XLOOKUP(L531,'Campaign Metadata'!$A$2:$A$6,'Campaign Metadata'!$B$2:$B$6)</f>
        <v>45901</v>
      </c>
      <c r="O531" s="5">
        <f>_xlfn.XLOOKUP(L531,'Campaign Metadata'!$A$2:$A$6,'Campaign Metadata'!$C$2:$C$6)</f>
        <v>45930</v>
      </c>
      <c r="P531" t="str">
        <f t="shared" si="8"/>
        <v>During</v>
      </c>
    </row>
    <row r="532" spans="1:16" x14ac:dyDescent="0.3">
      <c r="A532" t="s">
        <v>326</v>
      </c>
      <c r="B532" s="21" t="s">
        <v>31</v>
      </c>
      <c r="C532" s="5">
        <v>45927</v>
      </c>
      <c r="D532" s="21" t="s">
        <v>27</v>
      </c>
      <c r="E532" s="21" t="s">
        <v>16</v>
      </c>
      <c r="F532" s="22">
        <v>18521</v>
      </c>
      <c r="G532" s="22">
        <v>1027</v>
      </c>
      <c r="H532" s="22">
        <v>230</v>
      </c>
      <c r="I532" s="22">
        <v>1247</v>
      </c>
      <c r="J532" s="22">
        <v>39588</v>
      </c>
      <c r="K532" s="22">
        <v>200928</v>
      </c>
      <c r="L532" s="21" t="s">
        <v>71</v>
      </c>
      <c r="M532" s="4">
        <v>9.8433269628921807E-2</v>
      </c>
      <c r="N532" s="5">
        <f>_xlfn.XLOOKUP(L532,'Campaign Metadata'!$A$2:$A$6,'Campaign Metadata'!$B$2:$B$6)</f>
        <v>45901</v>
      </c>
      <c r="O532" s="5">
        <f>_xlfn.XLOOKUP(L532,'Campaign Metadata'!$A$2:$A$6,'Campaign Metadata'!$C$2:$C$6)</f>
        <v>45930</v>
      </c>
      <c r="P532" t="str">
        <f t="shared" si="8"/>
        <v>During</v>
      </c>
    </row>
    <row r="533" spans="1:16" x14ac:dyDescent="0.3">
      <c r="A533" t="s">
        <v>326</v>
      </c>
      <c r="B533" s="21" t="s">
        <v>31</v>
      </c>
      <c r="C533" s="5">
        <v>45927</v>
      </c>
      <c r="D533" s="21" t="s">
        <v>27</v>
      </c>
      <c r="E533" s="21" t="s">
        <v>4</v>
      </c>
      <c r="F533" s="22">
        <v>18521</v>
      </c>
      <c r="G533" s="22">
        <v>1027</v>
      </c>
      <c r="H533" s="22">
        <v>230</v>
      </c>
      <c r="I533" s="22">
        <v>1247</v>
      </c>
      <c r="J533" s="22">
        <v>39588</v>
      </c>
      <c r="K533" s="22">
        <v>200928</v>
      </c>
      <c r="L533" s="21" t="s">
        <v>71</v>
      </c>
      <c r="M533" s="4">
        <v>9.8433269628921807E-2</v>
      </c>
      <c r="N533" s="5">
        <f>_xlfn.XLOOKUP(L533,'Campaign Metadata'!$A$2:$A$6,'Campaign Metadata'!$B$2:$B$6)</f>
        <v>45901</v>
      </c>
      <c r="O533" s="5">
        <f>_xlfn.XLOOKUP(L533,'Campaign Metadata'!$A$2:$A$6,'Campaign Metadata'!$C$2:$C$6)</f>
        <v>45930</v>
      </c>
      <c r="P533" t="str">
        <f t="shared" si="8"/>
        <v>During</v>
      </c>
    </row>
    <row r="534" spans="1:16" x14ac:dyDescent="0.3">
      <c r="A534" t="s">
        <v>311</v>
      </c>
      <c r="B534" s="21" t="s">
        <v>30</v>
      </c>
      <c r="C534" s="5">
        <v>45928</v>
      </c>
      <c r="D534" s="21" t="s">
        <v>25</v>
      </c>
      <c r="E534" s="21" t="s">
        <v>9</v>
      </c>
      <c r="F534" s="22">
        <v>21963</v>
      </c>
      <c r="G534" s="22">
        <v>1356</v>
      </c>
      <c r="H534" s="22">
        <v>349</v>
      </c>
      <c r="I534" s="22">
        <v>1206</v>
      </c>
      <c r="J534" s="22">
        <v>51755</v>
      </c>
      <c r="K534" s="22">
        <v>159273</v>
      </c>
      <c r="L534" s="21" t="s">
        <v>71</v>
      </c>
      <c r="M534" s="4">
        <v>0.14860020216860359</v>
      </c>
      <c r="N534" s="5">
        <f>_xlfn.XLOOKUP(L534,'Campaign Metadata'!$A$2:$A$6,'Campaign Metadata'!$B$2:$B$6)</f>
        <v>45901</v>
      </c>
      <c r="O534" s="5">
        <f>_xlfn.XLOOKUP(L534,'Campaign Metadata'!$A$2:$A$6,'Campaign Metadata'!$C$2:$C$6)</f>
        <v>45930</v>
      </c>
      <c r="P534" t="str">
        <f t="shared" si="8"/>
        <v>During</v>
      </c>
    </row>
    <row r="535" spans="1:16" x14ac:dyDescent="0.3">
      <c r="A535" t="s">
        <v>311</v>
      </c>
      <c r="B535" s="21" t="s">
        <v>30</v>
      </c>
      <c r="C535" s="5">
        <v>45928</v>
      </c>
      <c r="D535" s="21" t="s">
        <v>25</v>
      </c>
      <c r="E535" s="21" t="s">
        <v>7</v>
      </c>
      <c r="F535" s="22">
        <v>21963</v>
      </c>
      <c r="G535" s="22">
        <v>1356</v>
      </c>
      <c r="H535" s="22">
        <v>349</v>
      </c>
      <c r="I535" s="22">
        <v>1206</v>
      </c>
      <c r="J535" s="22">
        <v>51755</v>
      </c>
      <c r="K535" s="22">
        <v>159273</v>
      </c>
      <c r="L535" s="21" t="s">
        <v>71</v>
      </c>
      <c r="M535" s="4">
        <v>0.14860020216860359</v>
      </c>
      <c r="N535" s="5">
        <f>_xlfn.XLOOKUP(L535,'Campaign Metadata'!$A$2:$A$6,'Campaign Metadata'!$B$2:$B$6)</f>
        <v>45901</v>
      </c>
      <c r="O535" s="5">
        <f>_xlfn.XLOOKUP(L535,'Campaign Metadata'!$A$2:$A$6,'Campaign Metadata'!$C$2:$C$6)</f>
        <v>45930</v>
      </c>
      <c r="P535" t="str">
        <f t="shared" si="8"/>
        <v>During</v>
      </c>
    </row>
    <row r="536" spans="1:16" x14ac:dyDescent="0.3">
      <c r="A536" t="s">
        <v>344</v>
      </c>
      <c r="B536" s="21" t="s">
        <v>30</v>
      </c>
      <c r="C536" s="5">
        <v>45929</v>
      </c>
      <c r="D536" s="21" t="s">
        <v>28</v>
      </c>
      <c r="E536" s="21" t="s">
        <v>15</v>
      </c>
      <c r="F536" s="22">
        <v>7569</v>
      </c>
      <c r="G536" s="22">
        <v>803</v>
      </c>
      <c r="H536" s="22">
        <v>804</v>
      </c>
      <c r="I536" s="22">
        <v>1753</v>
      </c>
      <c r="J536" s="22">
        <v>43582</v>
      </c>
      <c r="K536" s="22">
        <v>166945</v>
      </c>
      <c r="L536" s="21" t="s">
        <v>71</v>
      </c>
      <c r="M536" s="4">
        <v>5.4964209769684629E-2</v>
      </c>
      <c r="N536" s="5">
        <f>_xlfn.XLOOKUP(L536,'Campaign Metadata'!$A$2:$A$6,'Campaign Metadata'!$B$2:$B$6)</f>
        <v>45901</v>
      </c>
      <c r="O536" s="5">
        <f>_xlfn.XLOOKUP(L536,'Campaign Metadata'!$A$2:$A$6,'Campaign Metadata'!$C$2:$C$6)</f>
        <v>45930</v>
      </c>
      <c r="P536" t="str">
        <f t="shared" si="8"/>
        <v>During</v>
      </c>
    </row>
    <row r="537" spans="1:16" x14ac:dyDescent="0.3">
      <c r="A537" t="s">
        <v>344</v>
      </c>
      <c r="B537" s="21" t="s">
        <v>30</v>
      </c>
      <c r="C537" s="5">
        <v>45929</v>
      </c>
      <c r="D537" s="21" t="s">
        <v>28</v>
      </c>
      <c r="E537" s="21" t="s">
        <v>18</v>
      </c>
      <c r="F537" s="22">
        <v>7569</v>
      </c>
      <c r="G537" s="22">
        <v>803</v>
      </c>
      <c r="H537" s="22">
        <v>804</v>
      </c>
      <c r="I537" s="22">
        <v>1753</v>
      </c>
      <c r="J537" s="22">
        <v>43582</v>
      </c>
      <c r="K537" s="22">
        <v>166945</v>
      </c>
      <c r="L537" s="21" t="s">
        <v>71</v>
      </c>
      <c r="M537" s="4">
        <v>5.4964209769684629E-2</v>
      </c>
      <c r="N537" s="5">
        <f>_xlfn.XLOOKUP(L537,'Campaign Metadata'!$A$2:$A$6,'Campaign Metadata'!$B$2:$B$6)</f>
        <v>45901</v>
      </c>
      <c r="O537" s="5">
        <f>_xlfn.XLOOKUP(L537,'Campaign Metadata'!$A$2:$A$6,'Campaign Metadata'!$C$2:$C$6)</f>
        <v>45930</v>
      </c>
      <c r="P537" t="str">
        <f t="shared" si="8"/>
        <v>During</v>
      </c>
    </row>
    <row r="538" spans="1:16" x14ac:dyDescent="0.3">
      <c r="A538" t="s">
        <v>339</v>
      </c>
      <c r="B538" s="21" t="s">
        <v>32</v>
      </c>
      <c r="C538" s="5">
        <v>45930</v>
      </c>
      <c r="D538" s="21" t="s">
        <v>27</v>
      </c>
      <c r="E538" s="21" t="s">
        <v>8</v>
      </c>
      <c r="F538" s="22">
        <v>8269</v>
      </c>
      <c r="G538" s="22">
        <v>250</v>
      </c>
      <c r="H538" s="22">
        <v>638</v>
      </c>
      <c r="I538" s="22">
        <v>815</v>
      </c>
      <c r="J538" s="22">
        <v>41991</v>
      </c>
      <c r="K538" s="22">
        <v>129393</v>
      </c>
      <c r="L538" s="21" t="s">
        <v>71</v>
      </c>
      <c r="M538" s="4">
        <v>7.0768897853825175E-2</v>
      </c>
      <c r="N538" s="5">
        <f>_xlfn.XLOOKUP(L538,'Campaign Metadata'!$A$2:$A$6,'Campaign Metadata'!$B$2:$B$6)</f>
        <v>45901</v>
      </c>
      <c r="O538" s="5">
        <f>_xlfn.XLOOKUP(L538,'Campaign Metadata'!$A$2:$A$6,'Campaign Metadata'!$C$2:$C$6)</f>
        <v>45930</v>
      </c>
      <c r="P538" t="str">
        <f t="shared" si="8"/>
        <v>During</v>
      </c>
    </row>
    <row r="539" spans="1:16" x14ac:dyDescent="0.3">
      <c r="A539" t="s">
        <v>339</v>
      </c>
      <c r="B539" s="21" t="s">
        <v>32</v>
      </c>
      <c r="C539" s="5">
        <v>45930</v>
      </c>
      <c r="D539" s="21" t="s">
        <v>27</v>
      </c>
      <c r="E539" s="21" t="s">
        <v>10</v>
      </c>
      <c r="F539" s="22">
        <v>8269</v>
      </c>
      <c r="G539" s="22">
        <v>250</v>
      </c>
      <c r="H539" s="22">
        <v>638</v>
      </c>
      <c r="I539" s="22">
        <v>815</v>
      </c>
      <c r="J539" s="22">
        <v>41991</v>
      </c>
      <c r="K539" s="22">
        <v>129393</v>
      </c>
      <c r="L539" s="21" t="s">
        <v>71</v>
      </c>
      <c r="M539" s="4">
        <v>7.0768897853825175E-2</v>
      </c>
      <c r="N539" s="5">
        <f>_xlfn.XLOOKUP(L539,'Campaign Metadata'!$A$2:$A$6,'Campaign Metadata'!$B$2:$B$6)</f>
        <v>45901</v>
      </c>
      <c r="O539" s="5">
        <f>_xlfn.XLOOKUP(L539,'Campaign Metadata'!$A$2:$A$6,'Campaign Metadata'!$C$2:$C$6)</f>
        <v>45930</v>
      </c>
      <c r="P539" t="str">
        <f t="shared" si="8"/>
        <v>During</v>
      </c>
    </row>
    <row r="540" spans="1:16" x14ac:dyDescent="0.3">
      <c r="A540" t="s">
        <v>345</v>
      </c>
      <c r="B540" s="21" t="s">
        <v>29</v>
      </c>
      <c r="C540" s="5">
        <v>45931</v>
      </c>
      <c r="D540" s="21" t="s">
        <v>25</v>
      </c>
      <c r="E540" s="21" t="s">
        <v>18</v>
      </c>
      <c r="F540" s="22">
        <v>6188</v>
      </c>
      <c r="G540" s="22">
        <v>774</v>
      </c>
      <c r="H540" s="22">
        <v>647</v>
      </c>
      <c r="I540" s="22">
        <v>1830</v>
      </c>
      <c r="J540" s="22">
        <v>55436</v>
      </c>
      <c r="K540" s="22">
        <v>175542</v>
      </c>
      <c r="L540" s="21" t="s">
        <v>71</v>
      </c>
      <c r="M540" s="4">
        <v>4.3345752013763089E-2</v>
      </c>
      <c r="N540" s="5">
        <f>_xlfn.XLOOKUP(L540,'Campaign Metadata'!$A$2:$A$6,'Campaign Metadata'!$B$2:$B$6)</f>
        <v>45901</v>
      </c>
      <c r="O540" s="5">
        <f>_xlfn.XLOOKUP(L540,'Campaign Metadata'!$A$2:$A$6,'Campaign Metadata'!$C$2:$C$6)</f>
        <v>45930</v>
      </c>
      <c r="P540" t="str">
        <f t="shared" si="8"/>
        <v>After</v>
      </c>
    </row>
    <row r="541" spans="1:16" x14ac:dyDescent="0.3">
      <c r="A541" t="s">
        <v>299</v>
      </c>
      <c r="B541" s="21" t="s">
        <v>29</v>
      </c>
      <c r="C541" s="5">
        <v>45932</v>
      </c>
      <c r="D541" s="21" t="s">
        <v>25</v>
      </c>
      <c r="E541" s="21" t="s">
        <v>1</v>
      </c>
      <c r="F541" s="22">
        <v>12161</v>
      </c>
      <c r="G541" s="22">
        <v>736</v>
      </c>
      <c r="H541" s="22">
        <v>876</v>
      </c>
      <c r="I541" s="22">
        <v>1233</v>
      </c>
      <c r="J541" s="22">
        <v>21337</v>
      </c>
      <c r="K541" s="22">
        <v>50225</v>
      </c>
      <c r="L541" s="21" t="s">
        <v>71</v>
      </c>
      <c r="M541" s="4">
        <v>0.27422598307615731</v>
      </c>
      <c r="N541" s="5">
        <f>_xlfn.XLOOKUP(L541,'Campaign Metadata'!$A$2:$A$6,'Campaign Metadata'!$B$2:$B$6)</f>
        <v>45901</v>
      </c>
      <c r="O541" s="5">
        <f>_xlfn.XLOOKUP(L541,'Campaign Metadata'!$A$2:$A$6,'Campaign Metadata'!$C$2:$C$6)</f>
        <v>45930</v>
      </c>
      <c r="P541" t="str">
        <f t="shared" si="8"/>
        <v>After</v>
      </c>
    </row>
    <row r="542" spans="1:16" x14ac:dyDescent="0.3">
      <c r="A542" t="s">
        <v>299</v>
      </c>
      <c r="B542" s="21" t="s">
        <v>29</v>
      </c>
      <c r="C542" s="5">
        <v>45932</v>
      </c>
      <c r="D542" s="21" t="s">
        <v>25</v>
      </c>
      <c r="E542" s="21" t="s">
        <v>11</v>
      </c>
      <c r="F542" s="22">
        <v>12161</v>
      </c>
      <c r="G542" s="22">
        <v>736</v>
      </c>
      <c r="H542" s="22">
        <v>876</v>
      </c>
      <c r="I542" s="22">
        <v>1233</v>
      </c>
      <c r="J542" s="22">
        <v>21337</v>
      </c>
      <c r="K542" s="22">
        <v>50225</v>
      </c>
      <c r="L542" s="21" t="s">
        <v>71</v>
      </c>
      <c r="M542" s="4">
        <v>0.27422598307615731</v>
      </c>
      <c r="N542" s="5">
        <f>_xlfn.XLOOKUP(L542,'Campaign Metadata'!$A$2:$A$6,'Campaign Metadata'!$B$2:$B$6)</f>
        <v>45901</v>
      </c>
      <c r="O542" s="5">
        <f>_xlfn.XLOOKUP(L542,'Campaign Metadata'!$A$2:$A$6,'Campaign Metadata'!$C$2:$C$6)</f>
        <v>45930</v>
      </c>
      <c r="P542" t="str">
        <f t="shared" si="8"/>
        <v>After</v>
      </c>
    </row>
    <row r="543" spans="1:16" x14ac:dyDescent="0.3">
      <c r="A543" t="s">
        <v>135</v>
      </c>
      <c r="B543" s="21" t="s">
        <v>30</v>
      </c>
      <c r="C543" s="5">
        <v>45933</v>
      </c>
      <c r="D543" s="21" t="s">
        <v>26</v>
      </c>
      <c r="E543" s="21" t="s">
        <v>3</v>
      </c>
      <c r="F543" s="22">
        <v>6777</v>
      </c>
      <c r="G543" s="22">
        <v>617</v>
      </c>
      <c r="H543" s="22">
        <v>551</v>
      </c>
      <c r="I543" s="22">
        <v>2109</v>
      </c>
      <c r="J543" s="22">
        <v>18559</v>
      </c>
      <c r="K543" s="22">
        <v>208452</v>
      </c>
      <c r="L543" s="21" t="s">
        <v>71</v>
      </c>
      <c r="M543" s="4">
        <v>3.8114290100358834E-2</v>
      </c>
      <c r="N543" s="5">
        <f>_xlfn.XLOOKUP(L543,'Campaign Metadata'!$A$2:$A$6,'Campaign Metadata'!$B$2:$B$6)</f>
        <v>45901</v>
      </c>
      <c r="O543" s="5">
        <f>_xlfn.XLOOKUP(L543,'Campaign Metadata'!$A$2:$A$6,'Campaign Metadata'!$C$2:$C$6)</f>
        <v>45930</v>
      </c>
      <c r="P543" t="str">
        <f t="shared" si="8"/>
        <v>After</v>
      </c>
    </row>
    <row r="544" spans="1:16" x14ac:dyDescent="0.3">
      <c r="A544" t="s">
        <v>135</v>
      </c>
      <c r="B544" s="21" t="s">
        <v>30</v>
      </c>
      <c r="C544" s="5">
        <v>45933</v>
      </c>
      <c r="D544" s="21" t="s">
        <v>26</v>
      </c>
      <c r="E544" s="21" t="s">
        <v>14</v>
      </c>
      <c r="F544" s="22">
        <v>6777</v>
      </c>
      <c r="G544" s="22">
        <v>617</v>
      </c>
      <c r="H544" s="22">
        <v>551</v>
      </c>
      <c r="I544" s="22">
        <v>2109</v>
      </c>
      <c r="J544" s="22">
        <v>18559</v>
      </c>
      <c r="K544" s="22">
        <v>208452</v>
      </c>
      <c r="L544" s="21" t="s">
        <v>71</v>
      </c>
      <c r="M544" s="4">
        <v>3.8114290100358834E-2</v>
      </c>
      <c r="N544" s="5">
        <f>_xlfn.XLOOKUP(L544,'Campaign Metadata'!$A$2:$A$6,'Campaign Metadata'!$B$2:$B$6)</f>
        <v>45901</v>
      </c>
      <c r="O544" s="5">
        <f>_xlfn.XLOOKUP(L544,'Campaign Metadata'!$A$2:$A$6,'Campaign Metadata'!$C$2:$C$6)</f>
        <v>45930</v>
      </c>
      <c r="P544" t="str">
        <f t="shared" si="8"/>
        <v>After</v>
      </c>
    </row>
    <row r="545" spans="1:16" x14ac:dyDescent="0.3">
      <c r="A545" t="s">
        <v>306</v>
      </c>
      <c r="B545" s="21" t="s">
        <v>32</v>
      </c>
      <c r="C545" s="5">
        <v>45934</v>
      </c>
      <c r="D545" s="21" t="s">
        <v>28</v>
      </c>
      <c r="E545" s="21" t="s">
        <v>19</v>
      </c>
      <c r="F545" s="22">
        <v>12488</v>
      </c>
      <c r="G545" s="22">
        <v>1403</v>
      </c>
      <c r="H545" s="22">
        <v>247</v>
      </c>
      <c r="I545" s="22">
        <v>1350</v>
      </c>
      <c r="J545" s="22">
        <v>28370</v>
      </c>
      <c r="K545" s="22">
        <v>76487</v>
      </c>
      <c r="L545" s="21" t="s">
        <v>71</v>
      </c>
      <c r="M545" s="4">
        <v>0.18484186855282597</v>
      </c>
      <c r="N545" s="5">
        <f>_xlfn.XLOOKUP(L545,'Campaign Metadata'!$A$2:$A$6,'Campaign Metadata'!$B$2:$B$6)</f>
        <v>45901</v>
      </c>
      <c r="O545" s="5">
        <f>_xlfn.XLOOKUP(L545,'Campaign Metadata'!$A$2:$A$6,'Campaign Metadata'!$C$2:$C$6)</f>
        <v>45930</v>
      </c>
      <c r="P545" t="str">
        <f t="shared" si="8"/>
        <v>After</v>
      </c>
    </row>
    <row r="546" spans="1:16" x14ac:dyDescent="0.3">
      <c r="A546" t="s">
        <v>306</v>
      </c>
      <c r="B546" s="21" t="s">
        <v>32</v>
      </c>
      <c r="C546" s="5">
        <v>45934</v>
      </c>
      <c r="D546" s="21" t="s">
        <v>28</v>
      </c>
      <c r="E546" s="21" t="s">
        <v>2</v>
      </c>
      <c r="F546" s="22">
        <v>12488</v>
      </c>
      <c r="G546" s="22">
        <v>1403</v>
      </c>
      <c r="H546" s="22">
        <v>247</v>
      </c>
      <c r="I546" s="22">
        <v>1350</v>
      </c>
      <c r="J546" s="22">
        <v>28370</v>
      </c>
      <c r="K546" s="22">
        <v>76487</v>
      </c>
      <c r="L546" s="21" t="s">
        <v>71</v>
      </c>
      <c r="M546" s="4">
        <v>0.18484186855282597</v>
      </c>
      <c r="N546" s="5">
        <f>_xlfn.XLOOKUP(L546,'Campaign Metadata'!$A$2:$A$6,'Campaign Metadata'!$B$2:$B$6)</f>
        <v>45901</v>
      </c>
      <c r="O546" s="5">
        <f>_xlfn.XLOOKUP(L546,'Campaign Metadata'!$A$2:$A$6,'Campaign Metadata'!$C$2:$C$6)</f>
        <v>45930</v>
      </c>
      <c r="P546" t="str">
        <f t="shared" si="8"/>
        <v>After</v>
      </c>
    </row>
    <row r="547" spans="1:16" x14ac:dyDescent="0.3">
      <c r="A547" t="s">
        <v>319</v>
      </c>
      <c r="B547" s="21" t="s">
        <v>29</v>
      </c>
      <c r="C547" s="5">
        <v>45935</v>
      </c>
      <c r="D547" s="21" t="s">
        <v>27</v>
      </c>
      <c r="E547" s="21" t="s">
        <v>5</v>
      </c>
      <c r="F547" s="22">
        <v>21262</v>
      </c>
      <c r="G547" s="22">
        <v>861</v>
      </c>
      <c r="H547" s="22">
        <v>676</v>
      </c>
      <c r="I547" s="22">
        <v>2263</v>
      </c>
      <c r="J547" s="22">
        <v>12085</v>
      </c>
      <c r="K547" s="22">
        <v>201731</v>
      </c>
      <c r="L547" s="21" t="s">
        <v>71</v>
      </c>
      <c r="M547" s="4">
        <v>0.11301683925623726</v>
      </c>
      <c r="N547" s="5">
        <f>_xlfn.XLOOKUP(L547,'Campaign Metadata'!$A$2:$A$6,'Campaign Metadata'!$B$2:$B$6)</f>
        <v>45901</v>
      </c>
      <c r="O547" s="5">
        <f>_xlfn.XLOOKUP(L547,'Campaign Metadata'!$A$2:$A$6,'Campaign Metadata'!$C$2:$C$6)</f>
        <v>45930</v>
      </c>
      <c r="P547" t="str">
        <f t="shared" si="8"/>
        <v>After</v>
      </c>
    </row>
    <row r="548" spans="1:16" x14ac:dyDescent="0.3">
      <c r="A548" t="s">
        <v>319</v>
      </c>
      <c r="B548" s="21" t="s">
        <v>29</v>
      </c>
      <c r="C548" s="5">
        <v>45935</v>
      </c>
      <c r="D548" s="21" t="s">
        <v>27</v>
      </c>
      <c r="E548" s="21" t="s">
        <v>6</v>
      </c>
      <c r="F548" s="22">
        <v>21262</v>
      </c>
      <c r="G548" s="22">
        <v>861</v>
      </c>
      <c r="H548" s="22">
        <v>676</v>
      </c>
      <c r="I548" s="22">
        <v>2263</v>
      </c>
      <c r="J548" s="22">
        <v>12085</v>
      </c>
      <c r="K548" s="22">
        <v>201731</v>
      </c>
      <c r="L548" s="21" t="s">
        <v>71</v>
      </c>
      <c r="M548" s="4">
        <v>0.11301683925623726</v>
      </c>
      <c r="N548" s="5">
        <f>_xlfn.XLOOKUP(L548,'Campaign Metadata'!$A$2:$A$6,'Campaign Metadata'!$B$2:$B$6)</f>
        <v>45901</v>
      </c>
      <c r="O548" s="5">
        <f>_xlfn.XLOOKUP(L548,'Campaign Metadata'!$A$2:$A$6,'Campaign Metadata'!$C$2:$C$6)</f>
        <v>45930</v>
      </c>
      <c r="P548" t="str">
        <f t="shared" si="8"/>
        <v>After</v>
      </c>
    </row>
    <row r="549" spans="1:16" x14ac:dyDescent="0.3">
      <c r="A549" t="s">
        <v>318</v>
      </c>
      <c r="B549" s="21" t="s">
        <v>32</v>
      </c>
      <c r="C549" s="5">
        <v>45936</v>
      </c>
      <c r="D549" s="21" t="s">
        <v>28</v>
      </c>
      <c r="E549" s="21" t="s">
        <v>1</v>
      </c>
      <c r="F549" s="22">
        <v>22028</v>
      </c>
      <c r="G549" s="22">
        <v>355</v>
      </c>
      <c r="H549" s="22">
        <v>665</v>
      </c>
      <c r="I549" s="22">
        <v>1859</v>
      </c>
      <c r="J549" s="22">
        <v>50565</v>
      </c>
      <c r="K549" s="22">
        <v>202962</v>
      </c>
      <c r="L549" s="21" t="s">
        <v>71</v>
      </c>
      <c r="M549" s="4">
        <v>0.11355820301337197</v>
      </c>
      <c r="N549" s="5">
        <f>_xlfn.XLOOKUP(L549,'Campaign Metadata'!$A$2:$A$6,'Campaign Metadata'!$B$2:$B$6)</f>
        <v>45901</v>
      </c>
      <c r="O549" s="5">
        <f>_xlfn.XLOOKUP(L549,'Campaign Metadata'!$A$2:$A$6,'Campaign Metadata'!$C$2:$C$6)</f>
        <v>45930</v>
      </c>
      <c r="P549" t="str">
        <f t="shared" si="8"/>
        <v>After</v>
      </c>
    </row>
    <row r="550" spans="1:16" x14ac:dyDescent="0.3">
      <c r="A550" t="s">
        <v>318</v>
      </c>
      <c r="B550" s="21" t="s">
        <v>32</v>
      </c>
      <c r="C550" s="5">
        <v>45936</v>
      </c>
      <c r="D550" s="21" t="s">
        <v>28</v>
      </c>
      <c r="E550" s="21" t="s">
        <v>11</v>
      </c>
      <c r="F550" s="22">
        <v>22028</v>
      </c>
      <c r="G550" s="22">
        <v>355</v>
      </c>
      <c r="H550" s="22">
        <v>665</v>
      </c>
      <c r="I550" s="22">
        <v>1859</v>
      </c>
      <c r="J550" s="22">
        <v>50565</v>
      </c>
      <c r="K550" s="22">
        <v>202962</v>
      </c>
      <c r="L550" s="21" t="s">
        <v>71</v>
      </c>
      <c r="M550" s="4">
        <v>0.11355820301337197</v>
      </c>
      <c r="N550" s="5">
        <f>_xlfn.XLOOKUP(L550,'Campaign Metadata'!$A$2:$A$6,'Campaign Metadata'!$B$2:$B$6)</f>
        <v>45901</v>
      </c>
      <c r="O550" s="5">
        <f>_xlfn.XLOOKUP(L550,'Campaign Metadata'!$A$2:$A$6,'Campaign Metadata'!$C$2:$C$6)</f>
        <v>45930</v>
      </c>
      <c r="P550" t="str">
        <f t="shared" si="8"/>
        <v>After</v>
      </c>
    </row>
    <row r="551" spans="1:16" x14ac:dyDescent="0.3">
      <c r="A551" t="s">
        <v>325</v>
      </c>
      <c r="B551" s="21" t="s">
        <v>31</v>
      </c>
      <c r="C551" s="5">
        <v>45937</v>
      </c>
      <c r="D551" s="21" t="s">
        <v>25</v>
      </c>
      <c r="E551" s="21" t="s">
        <v>9</v>
      </c>
      <c r="F551" s="22">
        <v>19660</v>
      </c>
      <c r="G551" s="22">
        <v>1307</v>
      </c>
      <c r="H551" s="22">
        <v>310</v>
      </c>
      <c r="I551" s="22">
        <v>2802</v>
      </c>
      <c r="J551" s="22">
        <v>22171</v>
      </c>
      <c r="K551" s="22">
        <v>213359</v>
      </c>
      <c r="L551" s="21" t="s">
        <v>71</v>
      </c>
      <c r="M551" s="4">
        <v>9.9723939463533293E-2</v>
      </c>
      <c r="N551" s="5">
        <f>_xlfn.XLOOKUP(L551,'Campaign Metadata'!$A$2:$A$6,'Campaign Metadata'!$B$2:$B$6)</f>
        <v>45901</v>
      </c>
      <c r="O551" s="5">
        <f>_xlfn.XLOOKUP(L551,'Campaign Metadata'!$A$2:$A$6,'Campaign Metadata'!$C$2:$C$6)</f>
        <v>45930</v>
      </c>
      <c r="P551" t="str">
        <f t="shared" si="8"/>
        <v>After</v>
      </c>
    </row>
    <row r="552" spans="1:16" x14ac:dyDescent="0.3">
      <c r="A552" t="s">
        <v>325</v>
      </c>
      <c r="B552" s="21" t="s">
        <v>31</v>
      </c>
      <c r="C552" s="5">
        <v>45937</v>
      </c>
      <c r="D552" s="21" t="s">
        <v>25</v>
      </c>
      <c r="E552" s="21" t="s">
        <v>7</v>
      </c>
      <c r="F552" s="22">
        <v>19660</v>
      </c>
      <c r="G552" s="22">
        <v>1307</v>
      </c>
      <c r="H552" s="22">
        <v>310</v>
      </c>
      <c r="I552" s="22">
        <v>2802</v>
      </c>
      <c r="J552" s="22">
        <v>22171</v>
      </c>
      <c r="K552" s="22">
        <v>213359</v>
      </c>
      <c r="L552" s="21" t="s">
        <v>71</v>
      </c>
      <c r="M552" s="4">
        <v>9.9723939463533293E-2</v>
      </c>
      <c r="N552" s="5">
        <f>_xlfn.XLOOKUP(L552,'Campaign Metadata'!$A$2:$A$6,'Campaign Metadata'!$B$2:$B$6)</f>
        <v>45901</v>
      </c>
      <c r="O552" s="5">
        <f>_xlfn.XLOOKUP(L552,'Campaign Metadata'!$A$2:$A$6,'Campaign Metadata'!$C$2:$C$6)</f>
        <v>45930</v>
      </c>
      <c r="P552" t="str">
        <f t="shared" si="8"/>
        <v>After</v>
      </c>
    </row>
    <row r="553" spans="1:16" x14ac:dyDescent="0.3">
      <c r="A553" t="s">
        <v>113</v>
      </c>
      <c r="B553" s="21" t="s">
        <v>30</v>
      </c>
      <c r="C553" s="5">
        <v>45938</v>
      </c>
      <c r="D553" s="21" t="s">
        <v>27</v>
      </c>
      <c r="E553" s="21" t="s">
        <v>3</v>
      </c>
      <c r="F553" s="22">
        <v>17745</v>
      </c>
      <c r="G553" s="22">
        <v>414</v>
      </c>
      <c r="H553" s="22">
        <v>563</v>
      </c>
      <c r="I553" s="22">
        <v>2733</v>
      </c>
      <c r="J553" s="22">
        <v>995</v>
      </c>
      <c r="K553" s="22">
        <v>231648</v>
      </c>
      <c r="L553" s="21" t="s">
        <v>71</v>
      </c>
      <c r="M553" s="4">
        <v>8.0820900676889074E-2</v>
      </c>
      <c r="N553" s="5">
        <f>_xlfn.XLOOKUP(L553,'Campaign Metadata'!$A$2:$A$6,'Campaign Metadata'!$B$2:$B$6)</f>
        <v>45901</v>
      </c>
      <c r="O553" s="5">
        <f>_xlfn.XLOOKUP(L553,'Campaign Metadata'!$A$2:$A$6,'Campaign Metadata'!$C$2:$C$6)</f>
        <v>45930</v>
      </c>
      <c r="P553" t="str">
        <f t="shared" si="8"/>
        <v>After</v>
      </c>
    </row>
    <row r="554" spans="1:16" x14ac:dyDescent="0.3">
      <c r="A554" t="s">
        <v>113</v>
      </c>
      <c r="B554" s="21" t="s">
        <v>30</v>
      </c>
      <c r="C554" s="5">
        <v>45938</v>
      </c>
      <c r="D554" s="21" t="s">
        <v>27</v>
      </c>
      <c r="E554" s="21" t="s">
        <v>13</v>
      </c>
      <c r="F554" s="22">
        <v>17745</v>
      </c>
      <c r="G554" s="22">
        <v>414</v>
      </c>
      <c r="H554" s="22">
        <v>563</v>
      </c>
      <c r="I554" s="22">
        <v>2733</v>
      </c>
      <c r="J554" s="22">
        <v>995</v>
      </c>
      <c r="K554" s="22">
        <v>231648</v>
      </c>
      <c r="L554" s="21" t="s">
        <v>71</v>
      </c>
      <c r="M554" s="4">
        <v>8.0820900676889074E-2</v>
      </c>
      <c r="N554" s="5">
        <f>_xlfn.XLOOKUP(L554,'Campaign Metadata'!$A$2:$A$6,'Campaign Metadata'!$B$2:$B$6)</f>
        <v>45901</v>
      </c>
      <c r="O554" s="5">
        <f>_xlfn.XLOOKUP(L554,'Campaign Metadata'!$A$2:$A$6,'Campaign Metadata'!$C$2:$C$6)</f>
        <v>45930</v>
      </c>
      <c r="P554" t="str">
        <f t="shared" si="8"/>
        <v>After</v>
      </c>
    </row>
    <row r="555" spans="1:16" x14ac:dyDescent="0.3">
      <c r="A555" t="s">
        <v>333</v>
      </c>
      <c r="B555" s="21" t="s">
        <v>31</v>
      </c>
      <c r="C555" s="5">
        <v>45939</v>
      </c>
      <c r="D555" s="21" t="s">
        <v>25</v>
      </c>
      <c r="E555" s="21" t="s">
        <v>1</v>
      </c>
      <c r="F555" s="22">
        <v>18748</v>
      </c>
      <c r="G555" s="22">
        <v>634</v>
      </c>
      <c r="H555" s="22">
        <v>400</v>
      </c>
      <c r="I555" s="22">
        <v>1667</v>
      </c>
      <c r="J555" s="22">
        <v>75813</v>
      </c>
      <c r="K555" s="22">
        <v>244456</v>
      </c>
      <c r="L555" s="21" t="s">
        <v>71</v>
      </c>
      <c r="M555" s="4">
        <v>8.0922538207284747E-2</v>
      </c>
      <c r="N555" s="5">
        <f>_xlfn.XLOOKUP(L555,'Campaign Metadata'!$A$2:$A$6,'Campaign Metadata'!$B$2:$B$6)</f>
        <v>45901</v>
      </c>
      <c r="O555" s="5">
        <f>_xlfn.XLOOKUP(L555,'Campaign Metadata'!$A$2:$A$6,'Campaign Metadata'!$C$2:$C$6)</f>
        <v>45930</v>
      </c>
      <c r="P555" t="str">
        <f t="shared" si="8"/>
        <v>After</v>
      </c>
    </row>
    <row r="556" spans="1:16" x14ac:dyDescent="0.3">
      <c r="A556" t="s">
        <v>333</v>
      </c>
      <c r="B556" s="21" t="s">
        <v>31</v>
      </c>
      <c r="C556" s="5">
        <v>45939</v>
      </c>
      <c r="D556" s="21" t="s">
        <v>25</v>
      </c>
      <c r="E556" s="21" t="s">
        <v>11</v>
      </c>
      <c r="F556" s="22">
        <v>18748</v>
      </c>
      <c r="G556" s="22">
        <v>634</v>
      </c>
      <c r="H556" s="22">
        <v>400</v>
      </c>
      <c r="I556" s="22">
        <v>1667</v>
      </c>
      <c r="J556" s="22">
        <v>75813</v>
      </c>
      <c r="K556" s="22">
        <v>244456</v>
      </c>
      <c r="L556" s="21" t="s">
        <v>71</v>
      </c>
      <c r="M556" s="4">
        <v>8.0922538207284747E-2</v>
      </c>
      <c r="N556" s="5">
        <f>_xlfn.XLOOKUP(L556,'Campaign Metadata'!$A$2:$A$6,'Campaign Metadata'!$B$2:$B$6)</f>
        <v>45901</v>
      </c>
      <c r="O556" s="5">
        <f>_xlfn.XLOOKUP(L556,'Campaign Metadata'!$A$2:$A$6,'Campaign Metadata'!$C$2:$C$6)</f>
        <v>45930</v>
      </c>
      <c r="P556" t="str">
        <f t="shared" si="8"/>
        <v>After</v>
      </c>
    </row>
    <row r="557" spans="1:16" x14ac:dyDescent="0.3">
      <c r="A557" t="s">
        <v>351</v>
      </c>
      <c r="B557" s="21" t="s">
        <v>32</v>
      </c>
      <c r="C557" s="5">
        <v>45940</v>
      </c>
      <c r="D557" s="21" t="s">
        <v>25</v>
      </c>
      <c r="E557" s="21" t="s">
        <v>1</v>
      </c>
      <c r="F557" s="22">
        <v>6621</v>
      </c>
      <c r="G557" s="22">
        <v>922</v>
      </c>
      <c r="H557" s="22">
        <v>930</v>
      </c>
      <c r="I557" s="22">
        <v>694</v>
      </c>
      <c r="J557" s="22">
        <v>839</v>
      </c>
      <c r="K557" s="22">
        <v>243532</v>
      </c>
      <c r="L557" s="21" t="s">
        <v>71</v>
      </c>
      <c r="M557" s="4">
        <v>3.479214230573395E-2</v>
      </c>
      <c r="N557" s="5">
        <f>_xlfn.XLOOKUP(L557,'Campaign Metadata'!$A$2:$A$6,'Campaign Metadata'!$B$2:$B$6)</f>
        <v>45901</v>
      </c>
      <c r="O557" s="5">
        <f>_xlfn.XLOOKUP(L557,'Campaign Metadata'!$A$2:$A$6,'Campaign Metadata'!$C$2:$C$6)</f>
        <v>45930</v>
      </c>
      <c r="P557" t="str">
        <f t="shared" si="8"/>
        <v>After</v>
      </c>
    </row>
    <row r="558" spans="1:16" x14ac:dyDescent="0.3">
      <c r="A558" t="s">
        <v>351</v>
      </c>
      <c r="B558" s="21" t="s">
        <v>32</v>
      </c>
      <c r="C558" s="5">
        <v>45940</v>
      </c>
      <c r="D558" s="21" t="s">
        <v>25</v>
      </c>
      <c r="E558" s="21" t="s">
        <v>11</v>
      </c>
      <c r="F558" s="22">
        <v>6621</v>
      </c>
      <c r="G558" s="22">
        <v>922</v>
      </c>
      <c r="H558" s="22">
        <v>930</v>
      </c>
      <c r="I558" s="22">
        <v>694</v>
      </c>
      <c r="J558" s="22">
        <v>839</v>
      </c>
      <c r="K558" s="22">
        <v>243532</v>
      </c>
      <c r="L558" s="21" t="s">
        <v>71</v>
      </c>
      <c r="M558" s="4">
        <v>3.479214230573395E-2</v>
      </c>
      <c r="N558" s="5">
        <f>_xlfn.XLOOKUP(L558,'Campaign Metadata'!$A$2:$A$6,'Campaign Metadata'!$B$2:$B$6)</f>
        <v>45901</v>
      </c>
      <c r="O558" s="5">
        <f>_xlfn.XLOOKUP(L558,'Campaign Metadata'!$A$2:$A$6,'Campaign Metadata'!$C$2:$C$6)</f>
        <v>45930</v>
      </c>
      <c r="P558" t="str">
        <f t="shared" si="8"/>
        <v>After</v>
      </c>
    </row>
    <row r="559" spans="1:16" x14ac:dyDescent="0.3">
      <c r="A559" t="s">
        <v>322</v>
      </c>
      <c r="B559" s="21" t="s">
        <v>32</v>
      </c>
      <c r="C559" s="5">
        <v>45941</v>
      </c>
      <c r="D559" s="21" t="s">
        <v>25</v>
      </c>
      <c r="E559" s="21" t="s">
        <v>9</v>
      </c>
      <c r="F559" s="22">
        <v>15623</v>
      </c>
      <c r="G559" s="22">
        <v>869</v>
      </c>
      <c r="H559" s="22">
        <v>423</v>
      </c>
      <c r="I559" s="22">
        <v>371</v>
      </c>
      <c r="J559" s="22">
        <v>47579</v>
      </c>
      <c r="K559" s="22">
        <v>158516</v>
      </c>
      <c r="L559" s="21" t="s">
        <v>71</v>
      </c>
      <c r="M559" s="4">
        <v>0.10670847106916652</v>
      </c>
      <c r="N559" s="5">
        <f>_xlfn.XLOOKUP(L559,'Campaign Metadata'!$A$2:$A$6,'Campaign Metadata'!$B$2:$B$6)</f>
        <v>45901</v>
      </c>
      <c r="O559" s="5">
        <f>_xlfn.XLOOKUP(L559,'Campaign Metadata'!$A$2:$A$6,'Campaign Metadata'!$C$2:$C$6)</f>
        <v>45930</v>
      </c>
      <c r="P559" t="str">
        <f t="shared" si="8"/>
        <v>After</v>
      </c>
    </row>
    <row r="560" spans="1:16" x14ac:dyDescent="0.3">
      <c r="A560" t="s">
        <v>322</v>
      </c>
      <c r="B560" s="21" t="s">
        <v>32</v>
      </c>
      <c r="C560" s="5">
        <v>45941</v>
      </c>
      <c r="D560" s="21" t="s">
        <v>25</v>
      </c>
      <c r="E560" s="21" t="s">
        <v>7</v>
      </c>
      <c r="F560" s="22">
        <v>15623</v>
      </c>
      <c r="G560" s="22">
        <v>869</v>
      </c>
      <c r="H560" s="22">
        <v>423</v>
      </c>
      <c r="I560" s="22">
        <v>371</v>
      </c>
      <c r="J560" s="22">
        <v>47579</v>
      </c>
      <c r="K560" s="22">
        <v>158516</v>
      </c>
      <c r="L560" s="21" t="s">
        <v>71</v>
      </c>
      <c r="M560" s="4">
        <v>0.10670847106916652</v>
      </c>
      <c r="N560" s="5">
        <f>_xlfn.XLOOKUP(L560,'Campaign Metadata'!$A$2:$A$6,'Campaign Metadata'!$B$2:$B$6)</f>
        <v>45901</v>
      </c>
      <c r="O560" s="5">
        <f>_xlfn.XLOOKUP(L560,'Campaign Metadata'!$A$2:$A$6,'Campaign Metadata'!$C$2:$C$6)</f>
        <v>45930</v>
      </c>
      <c r="P560" t="str">
        <f t="shared" si="8"/>
        <v>After</v>
      </c>
    </row>
    <row r="561" spans="1:16" x14ac:dyDescent="0.3">
      <c r="A561" t="s">
        <v>352</v>
      </c>
      <c r="B561" s="21" t="s">
        <v>29</v>
      </c>
      <c r="C561" s="5">
        <v>45942</v>
      </c>
      <c r="D561" s="21" t="s">
        <v>25</v>
      </c>
      <c r="E561" s="21" t="s">
        <v>7</v>
      </c>
      <c r="F561" s="22">
        <v>7126</v>
      </c>
      <c r="G561" s="22">
        <v>484</v>
      </c>
      <c r="H561" s="22">
        <v>565</v>
      </c>
      <c r="I561" s="22">
        <v>573</v>
      </c>
      <c r="J561" s="22">
        <v>7389</v>
      </c>
      <c r="K561" s="22">
        <v>237096</v>
      </c>
      <c r="L561" s="21" t="s">
        <v>71</v>
      </c>
      <c r="M561" s="4">
        <v>3.4479704423524646E-2</v>
      </c>
      <c r="N561" s="5">
        <f>_xlfn.XLOOKUP(L561,'Campaign Metadata'!$A$2:$A$6,'Campaign Metadata'!$B$2:$B$6)</f>
        <v>45901</v>
      </c>
      <c r="O561" s="5">
        <f>_xlfn.XLOOKUP(L561,'Campaign Metadata'!$A$2:$A$6,'Campaign Metadata'!$C$2:$C$6)</f>
        <v>45930</v>
      </c>
      <c r="P561" t="str">
        <f t="shared" si="8"/>
        <v>After</v>
      </c>
    </row>
    <row r="562" spans="1:16" x14ac:dyDescent="0.3">
      <c r="A562" t="s">
        <v>352</v>
      </c>
      <c r="B562" s="21" t="s">
        <v>29</v>
      </c>
      <c r="C562" s="5">
        <v>45942</v>
      </c>
      <c r="D562" s="21" t="s">
        <v>25</v>
      </c>
      <c r="E562" s="21" t="s">
        <v>9</v>
      </c>
      <c r="F562" s="22">
        <v>7126</v>
      </c>
      <c r="G562" s="22">
        <v>484</v>
      </c>
      <c r="H562" s="22">
        <v>565</v>
      </c>
      <c r="I562" s="22">
        <v>573</v>
      </c>
      <c r="J562" s="22">
        <v>7389</v>
      </c>
      <c r="K562" s="22">
        <v>237096</v>
      </c>
      <c r="L562" s="21" t="s">
        <v>71</v>
      </c>
      <c r="M562" s="4">
        <v>3.4479704423524646E-2</v>
      </c>
      <c r="N562" s="5">
        <f>_xlfn.XLOOKUP(L562,'Campaign Metadata'!$A$2:$A$6,'Campaign Metadata'!$B$2:$B$6)</f>
        <v>45901</v>
      </c>
      <c r="O562" s="5">
        <f>_xlfn.XLOOKUP(L562,'Campaign Metadata'!$A$2:$A$6,'Campaign Metadata'!$C$2:$C$6)</f>
        <v>45930</v>
      </c>
      <c r="P562" t="str">
        <f t="shared" si="8"/>
        <v>After</v>
      </c>
    </row>
    <row r="563" spans="1:16" x14ac:dyDescent="0.3">
      <c r="A563" t="s">
        <v>81</v>
      </c>
      <c r="B563" s="21" t="s">
        <v>32</v>
      </c>
      <c r="C563" s="5">
        <v>45943</v>
      </c>
      <c r="D563" s="21" t="s">
        <v>28</v>
      </c>
      <c r="E563" s="21" t="s">
        <v>3</v>
      </c>
      <c r="F563" s="22">
        <v>19302</v>
      </c>
      <c r="G563" s="22">
        <v>1367</v>
      </c>
      <c r="H563" s="22">
        <v>188</v>
      </c>
      <c r="I563" s="22">
        <v>637</v>
      </c>
      <c r="J563" s="22">
        <v>31404</v>
      </c>
      <c r="K563" s="22">
        <v>154044</v>
      </c>
      <c r="L563" s="21" t="s">
        <v>71</v>
      </c>
      <c r="M563" s="4">
        <v>0.13539638025499209</v>
      </c>
      <c r="N563" s="5">
        <f>_xlfn.XLOOKUP(L563,'Campaign Metadata'!$A$2:$A$6,'Campaign Metadata'!$B$2:$B$6)</f>
        <v>45901</v>
      </c>
      <c r="O563" s="5">
        <f>_xlfn.XLOOKUP(L563,'Campaign Metadata'!$A$2:$A$6,'Campaign Metadata'!$C$2:$C$6)</f>
        <v>45930</v>
      </c>
      <c r="P563" t="str">
        <f t="shared" si="8"/>
        <v>After</v>
      </c>
    </row>
    <row r="564" spans="1:16" x14ac:dyDescent="0.3">
      <c r="A564" t="s">
        <v>81</v>
      </c>
      <c r="B564" s="21" t="s">
        <v>32</v>
      </c>
      <c r="C564" s="5">
        <v>45943</v>
      </c>
      <c r="D564" s="21" t="s">
        <v>28</v>
      </c>
      <c r="E564" s="21" t="s">
        <v>13</v>
      </c>
      <c r="F564" s="22">
        <v>19302</v>
      </c>
      <c r="G564" s="22">
        <v>1367</v>
      </c>
      <c r="H564" s="22">
        <v>188</v>
      </c>
      <c r="I564" s="22">
        <v>637</v>
      </c>
      <c r="J564" s="22">
        <v>31404</v>
      </c>
      <c r="K564" s="22">
        <v>154044</v>
      </c>
      <c r="L564" s="21" t="s">
        <v>71</v>
      </c>
      <c r="M564" s="4">
        <v>0.13539638025499209</v>
      </c>
      <c r="N564" s="5">
        <f>_xlfn.XLOOKUP(L564,'Campaign Metadata'!$A$2:$A$6,'Campaign Metadata'!$B$2:$B$6)</f>
        <v>45901</v>
      </c>
      <c r="O564" s="5">
        <f>_xlfn.XLOOKUP(L564,'Campaign Metadata'!$A$2:$A$6,'Campaign Metadata'!$C$2:$C$6)</f>
        <v>45930</v>
      </c>
      <c r="P564" t="str">
        <f t="shared" si="8"/>
        <v>After</v>
      </c>
    </row>
    <row r="565" spans="1:16" x14ac:dyDescent="0.3">
      <c r="A565" t="s">
        <v>334</v>
      </c>
      <c r="B565" s="21" t="s">
        <v>32</v>
      </c>
      <c r="C565" s="5">
        <v>45944</v>
      </c>
      <c r="D565" s="21" t="s">
        <v>25</v>
      </c>
      <c r="E565" s="21" t="s">
        <v>15</v>
      </c>
      <c r="F565" s="22">
        <v>9673</v>
      </c>
      <c r="G565" s="22">
        <v>393</v>
      </c>
      <c r="H565" s="22">
        <v>846</v>
      </c>
      <c r="I565" s="22">
        <v>1028</v>
      </c>
      <c r="J565" s="22">
        <v>55556</v>
      </c>
      <c r="K565" s="22">
        <v>136652</v>
      </c>
      <c r="L565" s="21" t="s">
        <v>71</v>
      </c>
      <c r="M565" s="4">
        <v>7.9852471972601938E-2</v>
      </c>
      <c r="N565" s="5">
        <f>_xlfn.XLOOKUP(L565,'Campaign Metadata'!$A$2:$A$6,'Campaign Metadata'!$B$2:$B$6)</f>
        <v>45901</v>
      </c>
      <c r="O565" s="5">
        <f>_xlfn.XLOOKUP(L565,'Campaign Metadata'!$A$2:$A$6,'Campaign Metadata'!$C$2:$C$6)</f>
        <v>45930</v>
      </c>
      <c r="P565" t="str">
        <f t="shared" si="8"/>
        <v>After</v>
      </c>
    </row>
    <row r="566" spans="1:16" x14ac:dyDescent="0.3">
      <c r="A566" t="s">
        <v>334</v>
      </c>
      <c r="B566" s="21" t="s">
        <v>32</v>
      </c>
      <c r="C566" s="5">
        <v>45944</v>
      </c>
      <c r="D566" s="21" t="s">
        <v>25</v>
      </c>
      <c r="E566" s="21" t="s">
        <v>18</v>
      </c>
      <c r="F566" s="22">
        <v>9673</v>
      </c>
      <c r="G566" s="22">
        <v>393</v>
      </c>
      <c r="H566" s="22">
        <v>846</v>
      </c>
      <c r="I566" s="22">
        <v>1028</v>
      </c>
      <c r="J566" s="22">
        <v>55556</v>
      </c>
      <c r="K566" s="22">
        <v>136652</v>
      </c>
      <c r="L566" s="21" t="s">
        <v>71</v>
      </c>
      <c r="M566" s="4">
        <v>7.9852471972601938E-2</v>
      </c>
      <c r="N566" s="5">
        <f>_xlfn.XLOOKUP(L566,'Campaign Metadata'!$A$2:$A$6,'Campaign Metadata'!$B$2:$B$6)</f>
        <v>45901</v>
      </c>
      <c r="O566" s="5">
        <f>_xlfn.XLOOKUP(L566,'Campaign Metadata'!$A$2:$A$6,'Campaign Metadata'!$C$2:$C$6)</f>
        <v>45930</v>
      </c>
      <c r="P566" t="str">
        <f t="shared" si="8"/>
        <v>After</v>
      </c>
    </row>
    <row r="567" spans="1:16" x14ac:dyDescent="0.3">
      <c r="A567" t="s">
        <v>338</v>
      </c>
      <c r="B567" s="21" t="s">
        <v>32</v>
      </c>
      <c r="C567" s="5">
        <v>45945</v>
      </c>
      <c r="D567" s="21" t="s">
        <v>26</v>
      </c>
      <c r="E567" s="21" t="s">
        <v>9</v>
      </c>
      <c r="F567" s="22">
        <v>8882</v>
      </c>
      <c r="G567" s="22">
        <v>701</v>
      </c>
      <c r="H567" s="22">
        <v>421</v>
      </c>
      <c r="I567" s="22">
        <v>2343</v>
      </c>
      <c r="J567" s="22">
        <v>13588</v>
      </c>
      <c r="K567" s="22">
        <v>139304</v>
      </c>
      <c r="L567" s="21" t="s">
        <v>71</v>
      </c>
      <c r="M567" s="4">
        <v>7.1814161833113191E-2</v>
      </c>
      <c r="N567" s="5">
        <f>_xlfn.XLOOKUP(L567,'Campaign Metadata'!$A$2:$A$6,'Campaign Metadata'!$B$2:$B$6)</f>
        <v>45901</v>
      </c>
      <c r="O567" s="5">
        <f>_xlfn.XLOOKUP(L567,'Campaign Metadata'!$A$2:$A$6,'Campaign Metadata'!$C$2:$C$6)</f>
        <v>45930</v>
      </c>
      <c r="P567" t="str">
        <f t="shared" si="8"/>
        <v>After</v>
      </c>
    </row>
    <row r="568" spans="1:16" x14ac:dyDescent="0.3">
      <c r="A568" t="s">
        <v>338</v>
      </c>
      <c r="B568" s="21" t="s">
        <v>32</v>
      </c>
      <c r="C568" s="5">
        <v>45945</v>
      </c>
      <c r="D568" s="21" t="s">
        <v>26</v>
      </c>
      <c r="E568" s="21" t="s">
        <v>7</v>
      </c>
      <c r="F568" s="22">
        <v>8882</v>
      </c>
      <c r="G568" s="22">
        <v>701</v>
      </c>
      <c r="H568" s="22">
        <v>421</v>
      </c>
      <c r="I568" s="22">
        <v>2343</v>
      </c>
      <c r="J568" s="22">
        <v>13588</v>
      </c>
      <c r="K568" s="22">
        <v>139304</v>
      </c>
      <c r="L568" s="21" t="s">
        <v>71</v>
      </c>
      <c r="M568" s="4">
        <v>7.1814161833113191E-2</v>
      </c>
      <c r="N568" s="5">
        <f>_xlfn.XLOOKUP(L568,'Campaign Metadata'!$A$2:$A$6,'Campaign Metadata'!$B$2:$B$6)</f>
        <v>45901</v>
      </c>
      <c r="O568" s="5">
        <f>_xlfn.XLOOKUP(L568,'Campaign Metadata'!$A$2:$A$6,'Campaign Metadata'!$C$2:$C$6)</f>
        <v>45930</v>
      </c>
      <c r="P568" t="str">
        <f t="shared" si="8"/>
        <v>After</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622A-38AA-4CE3-B2F0-3193DFD69A46}">
  <dimension ref="A1:H201"/>
  <sheetViews>
    <sheetView workbookViewId="0">
      <pane ySplit="1" topLeftCell="A178" activePane="bottomLeft" state="frozen"/>
      <selection pane="bottomLeft" activeCell="I13" sqref="I13"/>
    </sheetView>
  </sheetViews>
  <sheetFormatPr defaultRowHeight="14.4" x14ac:dyDescent="0.3"/>
  <cols>
    <col min="1" max="1" width="17.77734375" bestFit="1" customWidth="1"/>
    <col min="2" max="2" width="10.33203125" bestFit="1" customWidth="1"/>
    <col min="3" max="3" width="16" bestFit="1" customWidth="1"/>
    <col min="4" max="4" width="11.5546875" bestFit="1" customWidth="1"/>
    <col min="5" max="5" width="16.44140625" bestFit="1" customWidth="1"/>
    <col min="6" max="6" width="18.109375" bestFit="1" customWidth="1"/>
    <col min="7" max="7" width="11.21875" bestFit="1" customWidth="1"/>
    <col min="8" max="8" width="30.21875" customWidth="1"/>
  </cols>
  <sheetData>
    <row r="1" spans="1:8" x14ac:dyDescent="0.3">
      <c r="A1" s="19" t="s">
        <v>354</v>
      </c>
      <c r="B1" s="19" t="s">
        <v>47</v>
      </c>
      <c r="C1" s="19" t="s">
        <v>355</v>
      </c>
      <c r="D1" s="19" t="s">
        <v>356</v>
      </c>
      <c r="E1" s="19" t="s">
        <v>357</v>
      </c>
      <c r="F1" s="19" t="s">
        <v>358</v>
      </c>
      <c r="G1" s="19" t="s">
        <v>359</v>
      </c>
      <c r="H1" s="19" t="s">
        <v>57</v>
      </c>
    </row>
    <row r="2" spans="1:8" x14ac:dyDescent="0.3">
      <c r="A2" s="5">
        <v>45446</v>
      </c>
      <c r="B2" s="21" t="s">
        <v>29</v>
      </c>
      <c r="C2" s="22">
        <v>4138</v>
      </c>
      <c r="D2" s="22">
        <v>361</v>
      </c>
      <c r="E2" s="22">
        <v>103777</v>
      </c>
      <c r="F2">
        <v>56.637790647253247</v>
      </c>
      <c r="G2">
        <v>23944</v>
      </c>
      <c r="H2" t="str">
        <f>IF(AND(A2&gt;='Campaign Metadata'!$B$2,A2&lt;='Campaign Metadata'!$C$2),"iPhone 16 Launch", IF(AND(A2&gt;='Campaign Metadata'!$B$3,A2&lt;='Campaign Metadata'!$C$3), "MacBook Air M3 Campaign", IF(AND(A2&gt;='Campaign Metadata'!$B$4,A2&lt;='Campaign Metadata'!$C$4), "Apple Watch Ultra 2 Launch", IF(AND(A2&gt;='Campaign Metadata'!$B$5,A2&lt;='Campaign Metadata'!$C$5), "Sustainability Awareness Drive", IF(AND(A2&gt;='Campaign Metadata'!$B$6,A2&lt;='Campaign Metadata'!$C$6), "Apple Event September 2025", "No Campaign")))))</f>
        <v>No Campaign</v>
      </c>
    </row>
    <row r="3" spans="1:8" x14ac:dyDescent="0.3">
      <c r="A3" s="5">
        <v>45446</v>
      </c>
      <c r="B3" s="21" t="s">
        <v>31</v>
      </c>
      <c r="C3" s="22">
        <v>8693</v>
      </c>
      <c r="D3" s="22">
        <v>1261</v>
      </c>
      <c r="E3" s="22">
        <v>111209</v>
      </c>
      <c r="F3">
        <v>69.475492091467416</v>
      </c>
      <c r="G3">
        <v>29873</v>
      </c>
      <c r="H3" t="str">
        <f>IF(AND(A3&gt;='Campaign Metadata'!$B$2,A3&lt;='Campaign Metadata'!$C$2),"iPhone 16 Launch", IF(AND(A3&gt;='Campaign Metadata'!$B$3,A3&lt;='Campaign Metadata'!$C$3), "MacBook Air M3 Campaign", IF(AND(A3&gt;='Campaign Metadata'!$B$4,A3&lt;='Campaign Metadata'!$C$4), "Apple Watch Ultra 2 Launch", IF(AND(A3&gt;='Campaign Metadata'!$B$5,A3&lt;='Campaign Metadata'!$C$5), "Sustainability Awareness Drive", IF(AND(A3&gt;='Campaign Metadata'!$B$6,A3&lt;='Campaign Metadata'!$C$6), "Apple Event September 2025", "No Campaign")))))</f>
        <v>No Campaign</v>
      </c>
    </row>
    <row r="4" spans="1:8" x14ac:dyDescent="0.3">
      <c r="A4" s="5">
        <v>45446</v>
      </c>
      <c r="B4" s="21" t="s">
        <v>32</v>
      </c>
      <c r="C4" s="22">
        <v>9264</v>
      </c>
      <c r="D4" s="22">
        <v>1141</v>
      </c>
      <c r="E4" s="22">
        <v>119332</v>
      </c>
      <c r="F4">
        <v>92.312204605638044</v>
      </c>
      <c r="G4">
        <v>50372</v>
      </c>
      <c r="H4" t="str">
        <f>IF(AND(A4&gt;='Campaign Metadata'!$B$2,A4&lt;='Campaign Metadata'!$C$2),"iPhone 16 Launch", IF(AND(A4&gt;='Campaign Metadata'!$B$3,A4&lt;='Campaign Metadata'!$C$3), "MacBook Air M3 Campaign", IF(AND(A4&gt;='Campaign Metadata'!$B$4,A4&lt;='Campaign Metadata'!$C$4), "Apple Watch Ultra 2 Launch", IF(AND(A4&gt;='Campaign Metadata'!$B$5,A4&lt;='Campaign Metadata'!$C$5), "Sustainability Awareness Drive", IF(AND(A4&gt;='Campaign Metadata'!$B$6,A4&lt;='Campaign Metadata'!$C$6), "Apple Event September 2025", "No Campaign")))))</f>
        <v>No Campaign</v>
      </c>
    </row>
    <row r="5" spans="1:8" x14ac:dyDescent="0.3">
      <c r="A5" s="5">
        <v>45446</v>
      </c>
      <c r="B5" s="21" t="s">
        <v>32</v>
      </c>
      <c r="C5" s="22">
        <v>8842</v>
      </c>
      <c r="D5" s="22">
        <v>971</v>
      </c>
      <c r="E5" s="22">
        <v>127203</v>
      </c>
      <c r="F5">
        <v>16.351815601833291</v>
      </c>
      <c r="G5">
        <v>33928</v>
      </c>
      <c r="H5" t="str">
        <f>IF(AND(A5&gt;='Campaign Metadata'!$B$2,A5&lt;='Campaign Metadata'!$C$2),"iPhone 16 Launch", IF(AND(A5&gt;='Campaign Metadata'!$B$3,A5&lt;='Campaign Metadata'!$C$3), "MacBook Air M3 Campaign", IF(AND(A5&gt;='Campaign Metadata'!$B$4,A5&lt;='Campaign Metadata'!$C$4), "Apple Watch Ultra 2 Launch", IF(AND(A5&gt;='Campaign Metadata'!$B$5,A5&lt;='Campaign Metadata'!$C$5), "Sustainability Awareness Drive", IF(AND(A5&gt;='Campaign Metadata'!$B$6,A5&lt;='Campaign Metadata'!$C$6), "Apple Event September 2025", "No Campaign")))))</f>
        <v>No Campaign</v>
      </c>
    </row>
    <row r="6" spans="1:8" x14ac:dyDescent="0.3">
      <c r="A6" s="5">
        <v>45453</v>
      </c>
      <c r="B6" s="21" t="s">
        <v>29</v>
      </c>
      <c r="C6" s="22">
        <v>7721</v>
      </c>
      <c r="D6" s="22">
        <v>506</v>
      </c>
      <c r="E6" s="22">
        <v>134418</v>
      </c>
      <c r="F6">
        <v>35.577824398518047</v>
      </c>
      <c r="G6">
        <v>25379</v>
      </c>
      <c r="H6" t="str">
        <f>IF(AND(A6&gt;='Campaign Metadata'!$B$2,A6&lt;='Campaign Metadata'!$C$2),"iPhone 16 Launch", IF(AND(A6&gt;='Campaign Metadata'!$B$3,A6&lt;='Campaign Metadata'!$C$3), "MacBook Air M3 Campaign", IF(AND(A6&gt;='Campaign Metadata'!$B$4,A6&lt;='Campaign Metadata'!$C$4), "Apple Watch Ultra 2 Launch", IF(AND(A6&gt;='Campaign Metadata'!$B$5,A6&lt;='Campaign Metadata'!$C$5), "Sustainability Awareness Drive", IF(AND(A6&gt;='Campaign Metadata'!$B$6,A6&lt;='Campaign Metadata'!$C$6), "Apple Event September 2025", "No Campaign")))))</f>
        <v>No Campaign</v>
      </c>
    </row>
    <row r="7" spans="1:8" x14ac:dyDescent="0.3">
      <c r="A7" s="5">
        <v>45453</v>
      </c>
      <c r="B7" s="21" t="s">
        <v>32</v>
      </c>
      <c r="C7" s="22">
        <v>8002</v>
      </c>
      <c r="D7" s="22">
        <v>524</v>
      </c>
      <c r="E7" s="22">
        <v>141896</v>
      </c>
      <c r="F7">
        <v>52.064892597395271</v>
      </c>
      <c r="G7">
        <v>46751</v>
      </c>
      <c r="H7" t="str">
        <f>IF(AND(A7&gt;='Campaign Metadata'!$B$2,A7&lt;='Campaign Metadata'!$C$2),"iPhone 16 Launch", IF(AND(A7&gt;='Campaign Metadata'!$B$3,A7&lt;='Campaign Metadata'!$C$3), "MacBook Air M3 Campaign", IF(AND(A7&gt;='Campaign Metadata'!$B$4,A7&lt;='Campaign Metadata'!$C$4), "Apple Watch Ultra 2 Launch", IF(AND(A7&gt;='Campaign Metadata'!$B$5,A7&lt;='Campaign Metadata'!$C$5), "Sustainability Awareness Drive", IF(AND(A7&gt;='Campaign Metadata'!$B$6,A7&lt;='Campaign Metadata'!$C$6), "Apple Event September 2025", "No Campaign")))))</f>
        <v>No Campaign</v>
      </c>
    </row>
    <row r="8" spans="1:8" x14ac:dyDescent="0.3">
      <c r="A8" s="5">
        <v>45453</v>
      </c>
      <c r="B8" s="21" t="s">
        <v>31</v>
      </c>
      <c r="C8" s="22">
        <v>5225</v>
      </c>
      <c r="D8" s="22">
        <v>291</v>
      </c>
      <c r="E8" s="22">
        <v>146830</v>
      </c>
      <c r="F8">
        <v>19.551862698358651</v>
      </c>
      <c r="G8">
        <v>44546</v>
      </c>
      <c r="H8" t="str">
        <f>IF(AND(A8&gt;='Campaign Metadata'!$B$2,A8&lt;='Campaign Metadata'!$C$2),"iPhone 16 Launch", IF(AND(A8&gt;='Campaign Metadata'!$B$3,A8&lt;='Campaign Metadata'!$C$3), "MacBook Air M3 Campaign", IF(AND(A8&gt;='Campaign Metadata'!$B$4,A8&lt;='Campaign Metadata'!$C$4), "Apple Watch Ultra 2 Launch", IF(AND(A8&gt;='Campaign Metadata'!$B$5,A8&lt;='Campaign Metadata'!$C$5), "Sustainability Awareness Drive", IF(AND(A8&gt;='Campaign Metadata'!$B$6,A8&lt;='Campaign Metadata'!$C$6), "Apple Event September 2025", "No Campaign")))))</f>
        <v>No Campaign</v>
      </c>
    </row>
    <row r="9" spans="1:8" x14ac:dyDescent="0.3">
      <c r="A9" s="5">
        <v>45453</v>
      </c>
      <c r="B9" s="21" t="s">
        <v>31</v>
      </c>
      <c r="C9" s="22">
        <v>3978</v>
      </c>
      <c r="D9" s="22">
        <v>543</v>
      </c>
      <c r="E9" s="22">
        <v>150265</v>
      </c>
      <c r="F9">
        <v>49.159817655475329</v>
      </c>
      <c r="G9">
        <v>34286</v>
      </c>
      <c r="H9" t="str">
        <f>IF(AND(A9&gt;='Campaign Metadata'!$B$2,A9&lt;='Campaign Metadata'!$C$2),"iPhone 16 Launch", IF(AND(A9&gt;='Campaign Metadata'!$B$3,A9&lt;='Campaign Metadata'!$C$3), "MacBook Air M3 Campaign", IF(AND(A9&gt;='Campaign Metadata'!$B$4,A9&lt;='Campaign Metadata'!$C$4), "Apple Watch Ultra 2 Launch", IF(AND(A9&gt;='Campaign Metadata'!$B$5,A9&lt;='Campaign Metadata'!$C$5), "Sustainability Awareness Drive", IF(AND(A9&gt;='Campaign Metadata'!$B$6,A9&lt;='Campaign Metadata'!$C$6), "Apple Event September 2025", "No Campaign")))))</f>
        <v>No Campaign</v>
      </c>
    </row>
    <row r="10" spans="1:8" x14ac:dyDescent="0.3">
      <c r="A10" s="5">
        <v>45460</v>
      </c>
      <c r="B10" s="21" t="s">
        <v>29</v>
      </c>
      <c r="C10" s="22">
        <v>8373</v>
      </c>
      <c r="D10" s="22">
        <v>921</v>
      </c>
      <c r="E10" s="22">
        <v>157717</v>
      </c>
      <c r="F10">
        <v>12.2263294381709</v>
      </c>
      <c r="G10">
        <v>15110</v>
      </c>
      <c r="H10" t="str">
        <f>IF(AND(A10&gt;='Campaign Metadata'!$B$2,A10&lt;='Campaign Metadata'!$C$2),"iPhone 16 Launch", IF(AND(A10&gt;='Campaign Metadata'!$B$3,A10&lt;='Campaign Metadata'!$C$3), "MacBook Air M3 Campaign", IF(AND(A10&gt;='Campaign Metadata'!$B$4,A10&lt;='Campaign Metadata'!$C$4), "Apple Watch Ultra 2 Launch", IF(AND(A10&gt;='Campaign Metadata'!$B$5,A10&lt;='Campaign Metadata'!$C$5), "Sustainability Awareness Drive", IF(AND(A10&gt;='Campaign Metadata'!$B$6,A10&lt;='Campaign Metadata'!$C$6), "Apple Event September 2025", "No Campaign")))))</f>
        <v>iPhone 16 Launch</v>
      </c>
    </row>
    <row r="11" spans="1:8" x14ac:dyDescent="0.3">
      <c r="A11" s="5">
        <v>45460</v>
      </c>
      <c r="B11" s="21" t="s">
        <v>31</v>
      </c>
      <c r="C11" s="22">
        <v>6907</v>
      </c>
      <c r="D11" s="22">
        <v>834</v>
      </c>
      <c r="E11" s="22">
        <v>163790</v>
      </c>
      <c r="F11">
        <v>54.158984064961238</v>
      </c>
      <c r="G11">
        <v>22087</v>
      </c>
      <c r="H11" t="str">
        <f>IF(AND(A11&gt;='Campaign Metadata'!$B$2,A11&lt;='Campaign Metadata'!$C$2),"iPhone 16 Launch", IF(AND(A11&gt;='Campaign Metadata'!$B$3,A11&lt;='Campaign Metadata'!$C$3), "MacBook Air M3 Campaign", IF(AND(A11&gt;='Campaign Metadata'!$B$4,A11&lt;='Campaign Metadata'!$C$4), "Apple Watch Ultra 2 Launch", IF(AND(A11&gt;='Campaign Metadata'!$B$5,A11&lt;='Campaign Metadata'!$C$5), "Sustainability Awareness Drive", IF(AND(A11&gt;='Campaign Metadata'!$B$6,A11&lt;='Campaign Metadata'!$C$6), "Apple Event September 2025", "No Campaign")))))</f>
        <v>iPhone 16 Launch</v>
      </c>
    </row>
    <row r="12" spans="1:8" x14ac:dyDescent="0.3">
      <c r="A12" s="5">
        <v>45460</v>
      </c>
      <c r="B12" s="21" t="s">
        <v>30</v>
      </c>
      <c r="C12" s="22">
        <v>7097</v>
      </c>
      <c r="D12" s="22">
        <v>369</v>
      </c>
      <c r="E12" s="22">
        <v>170518</v>
      </c>
      <c r="F12">
        <v>9.2506362964613711</v>
      </c>
      <c r="G12">
        <v>33762</v>
      </c>
      <c r="H12" t="str">
        <f>IF(AND(A12&gt;='Campaign Metadata'!$B$2,A12&lt;='Campaign Metadata'!$C$2),"iPhone 16 Launch", IF(AND(A12&gt;='Campaign Metadata'!$B$3,A12&lt;='Campaign Metadata'!$C$3), "MacBook Air M3 Campaign", IF(AND(A12&gt;='Campaign Metadata'!$B$4,A12&lt;='Campaign Metadata'!$C$4), "Apple Watch Ultra 2 Launch", IF(AND(A12&gt;='Campaign Metadata'!$B$5,A12&lt;='Campaign Metadata'!$C$5), "Sustainability Awareness Drive", IF(AND(A12&gt;='Campaign Metadata'!$B$6,A12&lt;='Campaign Metadata'!$C$6), "Apple Event September 2025", "No Campaign")))))</f>
        <v>iPhone 16 Launch</v>
      </c>
    </row>
    <row r="13" spans="1:8" x14ac:dyDescent="0.3">
      <c r="A13" s="5">
        <v>45460</v>
      </c>
      <c r="B13" s="21" t="s">
        <v>29</v>
      </c>
      <c r="C13" s="22">
        <v>6656</v>
      </c>
      <c r="D13" s="22">
        <v>978</v>
      </c>
      <c r="E13" s="22">
        <v>176196</v>
      </c>
      <c r="F13">
        <v>60.425889350496043</v>
      </c>
      <c r="G13">
        <v>27081</v>
      </c>
      <c r="H13" t="str">
        <f>IF(AND(A13&gt;='Campaign Metadata'!$B$2,A13&lt;='Campaign Metadata'!$C$2),"iPhone 16 Launch", IF(AND(A13&gt;='Campaign Metadata'!$B$3,A13&lt;='Campaign Metadata'!$C$3), "MacBook Air M3 Campaign", IF(AND(A13&gt;='Campaign Metadata'!$B$4,A13&lt;='Campaign Metadata'!$C$4), "Apple Watch Ultra 2 Launch", IF(AND(A13&gt;='Campaign Metadata'!$B$5,A13&lt;='Campaign Metadata'!$C$5), "Sustainability Awareness Drive", IF(AND(A13&gt;='Campaign Metadata'!$B$6,A13&lt;='Campaign Metadata'!$C$6), "Apple Event September 2025", "No Campaign")))))</f>
        <v>iPhone 16 Launch</v>
      </c>
    </row>
    <row r="14" spans="1:8" x14ac:dyDescent="0.3">
      <c r="A14" s="5">
        <v>45467</v>
      </c>
      <c r="B14" s="21" t="s">
        <v>31</v>
      </c>
      <c r="C14" s="22">
        <v>9984</v>
      </c>
      <c r="D14" s="22">
        <v>1330</v>
      </c>
      <c r="E14" s="22">
        <v>184850</v>
      </c>
      <c r="F14">
        <v>57.524479307546663</v>
      </c>
      <c r="G14">
        <v>44947</v>
      </c>
      <c r="H14" t="str">
        <f>IF(AND(A14&gt;='Campaign Metadata'!$B$2,A14&lt;='Campaign Metadata'!$C$2),"iPhone 16 Launch", IF(AND(A14&gt;='Campaign Metadata'!$B$3,A14&lt;='Campaign Metadata'!$C$3), "MacBook Air M3 Campaign", IF(AND(A14&gt;='Campaign Metadata'!$B$4,A14&lt;='Campaign Metadata'!$C$4), "Apple Watch Ultra 2 Launch", IF(AND(A14&gt;='Campaign Metadata'!$B$5,A14&lt;='Campaign Metadata'!$C$5), "Sustainability Awareness Drive", IF(AND(A14&gt;='Campaign Metadata'!$B$6,A14&lt;='Campaign Metadata'!$C$6), "Apple Event September 2025", "No Campaign")))))</f>
        <v>iPhone 16 Launch</v>
      </c>
    </row>
    <row r="15" spans="1:8" x14ac:dyDescent="0.3">
      <c r="A15" s="5">
        <v>45467</v>
      </c>
      <c r="B15" s="21" t="s">
        <v>29</v>
      </c>
      <c r="C15" s="22">
        <v>5259</v>
      </c>
      <c r="D15" s="22">
        <v>374</v>
      </c>
      <c r="E15" s="22">
        <v>189735</v>
      </c>
      <c r="F15">
        <v>14.827522597306769</v>
      </c>
      <c r="G15">
        <v>19596</v>
      </c>
      <c r="H15" t="str">
        <f>IF(AND(A15&gt;='Campaign Metadata'!$B$2,A15&lt;='Campaign Metadata'!$C$2),"iPhone 16 Launch", IF(AND(A15&gt;='Campaign Metadata'!$B$3,A15&lt;='Campaign Metadata'!$C$3), "MacBook Air M3 Campaign", IF(AND(A15&gt;='Campaign Metadata'!$B$4,A15&lt;='Campaign Metadata'!$C$4), "Apple Watch Ultra 2 Launch", IF(AND(A15&gt;='Campaign Metadata'!$B$5,A15&lt;='Campaign Metadata'!$C$5), "Sustainability Awareness Drive", IF(AND(A15&gt;='Campaign Metadata'!$B$6,A15&lt;='Campaign Metadata'!$C$6), "Apple Event September 2025", "No Campaign")))))</f>
        <v>iPhone 16 Launch</v>
      </c>
    </row>
    <row r="16" spans="1:8" x14ac:dyDescent="0.3">
      <c r="A16" s="5">
        <v>45467</v>
      </c>
      <c r="B16" s="21" t="s">
        <v>32</v>
      </c>
      <c r="C16" s="22">
        <v>9286</v>
      </c>
      <c r="D16" s="22">
        <v>633</v>
      </c>
      <c r="E16" s="22">
        <v>198388</v>
      </c>
      <c r="F16">
        <v>5.4343004617214756</v>
      </c>
      <c r="G16">
        <v>48019</v>
      </c>
      <c r="H16" t="str">
        <f>IF(AND(A16&gt;='Campaign Metadata'!$B$2,A16&lt;='Campaign Metadata'!$C$2),"iPhone 16 Launch", IF(AND(A16&gt;='Campaign Metadata'!$B$3,A16&lt;='Campaign Metadata'!$C$3), "MacBook Air M3 Campaign", IF(AND(A16&gt;='Campaign Metadata'!$B$4,A16&lt;='Campaign Metadata'!$C$4), "Apple Watch Ultra 2 Launch", IF(AND(A16&gt;='Campaign Metadata'!$B$5,A16&lt;='Campaign Metadata'!$C$5), "Sustainability Awareness Drive", IF(AND(A16&gt;='Campaign Metadata'!$B$6,A16&lt;='Campaign Metadata'!$C$6), "Apple Event September 2025", "No Campaign")))))</f>
        <v>iPhone 16 Launch</v>
      </c>
    </row>
    <row r="17" spans="1:8" x14ac:dyDescent="0.3">
      <c r="A17" s="5">
        <v>45467</v>
      </c>
      <c r="B17" s="21" t="s">
        <v>31</v>
      </c>
      <c r="C17" s="22">
        <v>6901</v>
      </c>
      <c r="D17" s="22">
        <v>471</v>
      </c>
      <c r="E17" s="22">
        <v>204818</v>
      </c>
      <c r="F17">
        <v>60.827661631301943</v>
      </c>
      <c r="G17">
        <v>52003</v>
      </c>
      <c r="H17" t="str">
        <f>IF(AND(A17&gt;='Campaign Metadata'!$B$2,A17&lt;='Campaign Metadata'!$C$2),"iPhone 16 Launch", IF(AND(A17&gt;='Campaign Metadata'!$B$3,A17&lt;='Campaign Metadata'!$C$3), "MacBook Air M3 Campaign", IF(AND(A17&gt;='Campaign Metadata'!$B$4,A17&lt;='Campaign Metadata'!$C$4), "Apple Watch Ultra 2 Launch", IF(AND(A17&gt;='Campaign Metadata'!$B$5,A17&lt;='Campaign Metadata'!$C$5), "Sustainability Awareness Drive", IF(AND(A17&gt;='Campaign Metadata'!$B$6,A17&lt;='Campaign Metadata'!$C$6), "Apple Event September 2025", "No Campaign")))))</f>
        <v>iPhone 16 Launch</v>
      </c>
    </row>
    <row r="18" spans="1:8" x14ac:dyDescent="0.3">
      <c r="A18" s="5">
        <v>45474</v>
      </c>
      <c r="B18" s="21" t="s">
        <v>30</v>
      </c>
      <c r="C18" s="22">
        <v>5917</v>
      </c>
      <c r="D18" s="22">
        <v>475</v>
      </c>
      <c r="E18" s="22">
        <v>210260</v>
      </c>
      <c r="F18">
        <v>17.894035955483691</v>
      </c>
      <c r="G18">
        <v>28313</v>
      </c>
      <c r="H18" t="str">
        <f>IF(AND(A18&gt;='Campaign Metadata'!$B$2,A18&lt;='Campaign Metadata'!$C$2),"iPhone 16 Launch", IF(AND(A18&gt;='Campaign Metadata'!$B$3,A18&lt;='Campaign Metadata'!$C$3), "MacBook Air M3 Campaign", IF(AND(A18&gt;='Campaign Metadata'!$B$4,A18&lt;='Campaign Metadata'!$C$4), "Apple Watch Ultra 2 Launch", IF(AND(A18&gt;='Campaign Metadata'!$B$5,A18&lt;='Campaign Metadata'!$C$5), "Sustainability Awareness Drive", IF(AND(A18&gt;='Campaign Metadata'!$B$6,A18&lt;='Campaign Metadata'!$C$6), "Apple Event September 2025", "No Campaign")))))</f>
        <v>iPhone 16 Launch</v>
      </c>
    </row>
    <row r="19" spans="1:8" x14ac:dyDescent="0.3">
      <c r="A19" s="5">
        <v>45474</v>
      </c>
      <c r="B19" s="21" t="s">
        <v>31</v>
      </c>
      <c r="C19" s="22">
        <v>9429</v>
      </c>
      <c r="D19" s="22">
        <v>966</v>
      </c>
      <c r="E19" s="22">
        <v>218723</v>
      </c>
      <c r="F19">
        <v>7.6914636320825887</v>
      </c>
      <c r="G19">
        <v>57639</v>
      </c>
      <c r="H19" t="str">
        <f>IF(AND(A19&gt;='Campaign Metadata'!$B$2,A19&lt;='Campaign Metadata'!$C$2),"iPhone 16 Launch", IF(AND(A19&gt;='Campaign Metadata'!$B$3,A19&lt;='Campaign Metadata'!$C$3), "MacBook Air M3 Campaign", IF(AND(A19&gt;='Campaign Metadata'!$B$4,A19&lt;='Campaign Metadata'!$C$4), "Apple Watch Ultra 2 Launch", IF(AND(A19&gt;='Campaign Metadata'!$B$5,A19&lt;='Campaign Metadata'!$C$5), "Sustainability Awareness Drive", IF(AND(A19&gt;='Campaign Metadata'!$B$6,A19&lt;='Campaign Metadata'!$C$6), "Apple Event September 2025", "No Campaign")))))</f>
        <v>iPhone 16 Launch</v>
      </c>
    </row>
    <row r="20" spans="1:8" x14ac:dyDescent="0.3">
      <c r="A20" s="5">
        <v>45474</v>
      </c>
      <c r="B20" s="21" t="s">
        <v>29</v>
      </c>
      <c r="C20" s="22">
        <v>3530</v>
      </c>
      <c r="D20" s="22">
        <v>328</v>
      </c>
      <c r="E20" s="22">
        <v>221925</v>
      </c>
      <c r="F20">
        <v>12.8372197814577</v>
      </c>
      <c r="G20">
        <v>11013</v>
      </c>
      <c r="H20" t="str">
        <f>IF(AND(A20&gt;='Campaign Metadata'!$B$2,A20&lt;='Campaign Metadata'!$C$2),"iPhone 16 Launch", IF(AND(A20&gt;='Campaign Metadata'!$B$3,A20&lt;='Campaign Metadata'!$C$3), "MacBook Air M3 Campaign", IF(AND(A20&gt;='Campaign Metadata'!$B$4,A20&lt;='Campaign Metadata'!$C$4), "Apple Watch Ultra 2 Launch", IF(AND(A20&gt;='Campaign Metadata'!$B$5,A20&lt;='Campaign Metadata'!$C$5), "Sustainability Awareness Drive", IF(AND(A20&gt;='Campaign Metadata'!$B$6,A20&lt;='Campaign Metadata'!$C$6), "Apple Event September 2025", "No Campaign")))))</f>
        <v>iPhone 16 Launch</v>
      </c>
    </row>
    <row r="21" spans="1:8" x14ac:dyDescent="0.3">
      <c r="A21" s="5">
        <v>45474</v>
      </c>
      <c r="B21" s="21" t="s">
        <v>29</v>
      </c>
      <c r="C21" s="22">
        <v>2960</v>
      </c>
      <c r="D21" s="22">
        <v>234</v>
      </c>
      <c r="E21" s="22">
        <v>224651</v>
      </c>
      <c r="F21">
        <v>17.41278694508371</v>
      </c>
      <c r="G21">
        <v>59378</v>
      </c>
      <c r="H21" t="str">
        <f>IF(AND(A21&gt;='Campaign Metadata'!$B$2,A21&lt;='Campaign Metadata'!$C$2),"iPhone 16 Launch", IF(AND(A21&gt;='Campaign Metadata'!$B$3,A21&lt;='Campaign Metadata'!$C$3), "MacBook Air M3 Campaign", IF(AND(A21&gt;='Campaign Metadata'!$B$4,A21&lt;='Campaign Metadata'!$C$4), "Apple Watch Ultra 2 Launch", IF(AND(A21&gt;='Campaign Metadata'!$B$5,A21&lt;='Campaign Metadata'!$C$5), "Sustainability Awareness Drive", IF(AND(A21&gt;='Campaign Metadata'!$B$6,A21&lt;='Campaign Metadata'!$C$6), "Apple Event September 2025", "No Campaign")))))</f>
        <v>iPhone 16 Launch</v>
      </c>
    </row>
    <row r="22" spans="1:8" x14ac:dyDescent="0.3">
      <c r="A22" s="5">
        <v>45481</v>
      </c>
      <c r="B22" s="21" t="s">
        <v>31</v>
      </c>
      <c r="C22" s="22">
        <v>8045</v>
      </c>
      <c r="D22" s="22">
        <v>894</v>
      </c>
      <c r="E22" s="22">
        <v>231802</v>
      </c>
      <c r="F22">
        <v>47.634187798207087</v>
      </c>
      <c r="G22">
        <v>33705</v>
      </c>
      <c r="H22" t="str">
        <f>IF(AND(A22&gt;='Campaign Metadata'!$B$2,A22&lt;='Campaign Metadata'!$C$2),"iPhone 16 Launch", IF(AND(A22&gt;='Campaign Metadata'!$B$3,A22&lt;='Campaign Metadata'!$C$3), "MacBook Air M3 Campaign", IF(AND(A22&gt;='Campaign Metadata'!$B$4,A22&lt;='Campaign Metadata'!$C$4), "Apple Watch Ultra 2 Launch", IF(AND(A22&gt;='Campaign Metadata'!$B$5,A22&lt;='Campaign Metadata'!$C$5), "Sustainability Awareness Drive", IF(AND(A22&gt;='Campaign Metadata'!$B$6,A22&lt;='Campaign Metadata'!$C$6), "Apple Event September 2025", "No Campaign")))))</f>
        <v>iPhone 16 Launch</v>
      </c>
    </row>
    <row r="23" spans="1:8" x14ac:dyDescent="0.3">
      <c r="A23" s="5">
        <v>45481</v>
      </c>
      <c r="B23" s="21" t="s">
        <v>30</v>
      </c>
      <c r="C23" s="22">
        <v>2048</v>
      </c>
      <c r="D23" s="22">
        <v>130</v>
      </c>
      <c r="E23" s="22">
        <v>233720</v>
      </c>
      <c r="F23">
        <v>39.284614068115687</v>
      </c>
      <c r="G23">
        <v>11828</v>
      </c>
      <c r="H23" t="str">
        <f>IF(AND(A23&gt;='Campaign Metadata'!$B$2,A23&lt;='Campaign Metadata'!$C$2),"iPhone 16 Launch", IF(AND(A23&gt;='Campaign Metadata'!$B$3,A23&lt;='Campaign Metadata'!$C$3), "MacBook Air M3 Campaign", IF(AND(A23&gt;='Campaign Metadata'!$B$4,A23&lt;='Campaign Metadata'!$C$4), "Apple Watch Ultra 2 Launch", IF(AND(A23&gt;='Campaign Metadata'!$B$5,A23&lt;='Campaign Metadata'!$C$5), "Sustainability Awareness Drive", IF(AND(A23&gt;='Campaign Metadata'!$B$6,A23&lt;='Campaign Metadata'!$C$6), "Apple Event September 2025", "No Campaign")))))</f>
        <v>iPhone 16 Launch</v>
      </c>
    </row>
    <row r="24" spans="1:8" x14ac:dyDescent="0.3">
      <c r="A24" s="5">
        <v>45481</v>
      </c>
      <c r="B24" s="21" t="s">
        <v>30</v>
      </c>
      <c r="C24" s="22">
        <v>6772</v>
      </c>
      <c r="D24" s="22">
        <v>536</v>
      </c>
      <c r="E24" s="22">
        <v>239956</v>
      </c>
      <c r="F24">
        <v>9.8205504342462788</v>
      </c>
      <c r="G24">
        <v>17909</v>
      </c>
      <c r="H24" t="str">
        <f>IF(AND(A24&gt;='Campaign Metadata'!$B$2,A24&lt;='Campaign Metadata'!$C$2),"iPhone 16 Launch", IF(AND(A24&gt;='Campaign Metadata'!$B$3,A24&lt;='Campaign Metadata'!$C$3), "MacBook Air M3 Campaign", IF(AND(A24&gt;='Campaign Metadata'!$B$4,A24&lt;='Campaign Metadata'!$C$4), "Apple Watch Ultra 2 Launch", IF(AND(A24&gt;='Campaign Metadata'!$B$5,A24&lt;='Campaign Metadata'!$C$5), "Sustainability Awareness Drive", IF(AND(A24&gt;='Campaign Metadata'!$B$6,A24&lt;='Campaign Metadata'!$C$6), "Apple Event September 2025", "No Campaign")))))</f>
        <v>iPhone 16 Launch</v>
      </c>
    </row>
    <row r="25" spans="1:8" x14ac:dyDescent="0.3">
      <c r="A25" s="5">
        <v>45481</v>
      </c>
      <c r="B25" s="21" t="s">
        <v>30</v>
      </c>
      <c r="C25" s="22">
        <v>3529</v>
      </c>
      <c r="D25" s="22">
        <v>305</v>
      </c>
      <c r="E25" s="22">
        <v>243180</v>
      </c>
      <c r="F25">
        <v>41.606628834608109</v>
      </c>
      <c r="G25">
        <v>48356</v>
      </c>
      <c r="H25" t="str">
        <f>IF(AND(A25&gt;='Campaign Metadata'!$B$2,A25&lt;='Campaign Metadata'!$C$2),"iPhone 16 Launch", IF(AND(A25&gt;='Campaign Metadata'!$B$3,A25&lt;='Campaign Metadata'!$C$3), "MacBook Air M3 Campaign", IF(AND(A25&gt;='Campaign Metadata'!$B$4,A25&lt;='Campaign Metadata'!$C$4), "Apple Watch Ultra 2 Launch", IF(AND(A25&gt;='Campaign Metadata'!$B$5,A25&lt;='Campaign Metadata'!$C$5), "Sustainability Awareness Drive", IF(AND(A25&gt;='Campaign Metadata'!$B$6,A25&lt;='Campaign Metadata'!$C$6), "Apple Event September 2025", "No Campaign")))))</f>
        <v>iPhone 16 Launch</v>
      </c>
    </row>
    <row r="26" spans="1:8" x14ac:dyDescent="0.3">
      <c r="A26" s="5">
        <v>45488</v>
      </c>
      <c r="B26" s="21" t="s">
        <v>29</v>
      </c>
      <c r="C26" s="22">
        <v>3964</v>
      </c>
      <c r="D26" s="22">
        <v>378</v>
      </c>
      <c r="E26" s="22">
        <v>246766</v>
      </c>
      <c r="F26">
        <v>13.6355899921383</v>
      </c>
      <c r="G26">
        <v>23109</v>
      </c>
      <c r="H26" t="str">
        <f>IF(AND(A26&gt;='Campaign Metadata'!$B$2,A26&lt;='Campaign Metadata'!$C$2),"iPhone 16 Launch", IF(AND(A26&gt;='Campaign Metadata'!$B$3,A26&lt;='Campaign Metadata'!$C$3), "MacBook Air M3 Campaign", IF(AND(A26&gt;='Campaign Metadata'!$B$4,A26&lt;='Campaign Metadata'!$C$4), "Apple Watch Ultra 2 Launch", IF(AND(A26&gt;='Campaign Metadata'!$B$5,A26&lt;='Campaign Metadata'!$C$5), "Sustainability Awareness Drive", IF(AND(A26&gt;='Campaign Metadata'!$B$6,A26&lt;='Campaign Metadata'!$C$6), "Apple Event September 2025", "No Campaign")))))</f>
        <v>iPhone 16 Launch</v>
      </c>
    </row>
    <row r="27" spans="1:8" x14ac:dyDescent="0.3">
      <c r="A27" s="5">
        <v>45488</v>
      </c>
      <c r="B27" s="21" t="s">
        <v>31</v>
      </c>
      <c r="C27" s="22">
        <v>8137</v>
      </c>
      <c r="D27" s="22">
        <v>1045</v>
      </c>
      <c r="E27" s="22">
        <v>253858</v>
      </c>
      <c r="F27">
        <v>20.47246886054408</v>
      </c>
      <c r="G27">
        <v>12023</v>
      </c>
      <c r="H27" t="str">
        <f>IF(AND(A27&gt;='Campaign Metadata'!$B$2,A27&lt;='Campaign Metadata'!$C$2),"iPhone 16 Launch", IF(AND(A27&gt;='Campaign Metadata'!$B$3,A27&lt;='Campaign Metadata'!$C$3), "MacBook Air M3 Campaign", IF(AND(A27&gt;='Campaign Metadata'!$B$4,A27&lt;='Campaign Metadata'!$C$4), "Apple Watch Ultra 2 Launch", IF(AND(A27&gt;='Campaign Metadata'!$B$5,A27&lt;='Campaign Metadata'!$C$5), "Sustainability Awareness Drive", IF(AND(A27&gt;='Campaign Metadata'!$B$6,A27&lt;='Campaign Metadata'!$C$6), "Apple Event September 2025", "No Campaign")))))</f>
        <v>iPhone 16 Launch</v>
      </c>
    </row>
    <row r="28" spans="1:8" x14ac:dyDescent="0.3">
      <c r="A28" s="5">
        <v>45488</v>
      </c>
      <c r="B28" s="21" t="s">
        <v>32</v>
      </c>
      <c r="C28" s="22">
        <v>1963</v>
      </c>
      <c r="D28" s="22">
        <v>137</v>
      </c>
      <c r="E28" s="22">
        <v>255684</v>
      </c>
      <c r="F28">
        <v>11.2083665774941</v>
      </c>
      <c r="G28">
        <v>24537</v>
      </c>
      <c r="H28" t="str">
        <f>IF(AND(A28&gt;='Campaign Metadata'!$B$2,A28&lt;='Campaign Metadata'!$C$2),"iPhone 16 Launch", IF(AND(A28&gt;='Campaign Metadata'!$B$3,A28&lt;='Campaign Metadata'!$C$3), "MacBook Air M3 Campaign", IF(AND(A28&gt;='Campaign Metadata'!$B$4,A28&lt;='Campaign Metadata'!$C$4), "Apple Watch Ultra 2 Launch", IF(AND(A28&gt;='Campaign Metadata'!$B$5,A28&lt;='Campaign Metadata'!$C$5), "Sustainability Awareness Drive", IF(AND(A28&gt;='Campaign Metadata'!$B$6,A28&lt;='Campaign Metadata'!$C$6), "Apple Event September 2025", "No Campaign")))))</f>
        <v>iPhone 16 Launch</v>
      </c>
    </row>
    <row r="29" spans="1:8" x14ac:dyDescent="0.3">
      <c r="A29" s="5">
        <v>45488</v>
      </c>
      <c r="B29" s="21" t="s">
        <v>29</v>
      </c>
      <c r="C29" s="22">
        <v>1536</v>
      </c>
      <c r="D29" s="22">
        <v>155</v>
      </c>
      <c r="E29" s="22">
        <v>257065</v>
      </c>
      <c r="F29">
        <v>12.15762550327738</v>
      </c>
      <c r="G29">
        <v>36661</v>
      </c>
      <c r="H29" t="str">
        <f>IF(AND(A29&gt;='Campaign Metadata'!$B$2,A29&lt;='Campaign Metadata'!$C$2),"iPhone 16 Launch", IF(AND(A29&gt;='Campaign Metadata'!$B$3,A29&lt;='Campaign Metadata'!$C$3), "MacBook Air M3 Campaign", IF(AND(A29&gt;='Campaign Metadata'!$B$4,A29&lt;='Campaign Metadata'!$C$4), "Apple Watch Ultra 2 Launch", IF(AND(A29&gt;='Campaign Metadata'!$B$5,A29&lt;='Campaign Metadata'!$C$5), "Sustainability Awareness Drive", IF(AND(A29&gt;='Campaign Metadata'!$B$6,A29&lt;='Campaign Metadata'!$C$6), "Apple Event September 2025", "No Campaign")))))</f>
        <v>iPhone 16 Launch</v>
      </c>
    </row>
    <row r="30" spans="1:8" x14ac:dyDescent="0.3">
      <c r="A30" s="5">
        <v>45495</v>
      </c>
      <c r="B30" s="21" t="s">
        <v>30</v>
      </c>
      <c r="C30" s="22">
        <v>8340</v>
      </c>
      <c r="D30" s="22">
        <v>911</v>
      </c>
      <c r="E30" s="22">
        <v>264494</v>
      </c>
      <c r="F30">
        <v>37.302925586213682</v>
      </c>
      <c r="G30">
        <v>48659</v>
      </c>
      <c r="H30" t="str">
        <f>IF(AND(A30&gt;='Campaign Metadata'!$B$2,A30&lt;='Campaign Metadata'!$C$2),"iPhone 16 Launch", IF(AND(A30&gt;='Campaign Metadata'!$B$3,A30&lt;='Campaign Metadata'!$C$3), "MacBook Air M3 Campaign", IF(AND(A30&gt;='Campaign Metadata'!$B$4,A30&lt;='Campaign Metadata'!$C$4), "Apple Watch Ultra 2 Launch", IF(AND(A30&gt;='Campaign Metadata'!$B$5,A30&lt;='Campaign Metadata'!$C$5), "Sustainability Awareness Drive", IF(AND(A30&gt;='Campaign Metadata'!$B$6,A30&lt;='Campaign Metadata'!$C$6), "Apple Event September 2025", "No Campaign")))))</f>
        <v>No Campaign</v>
      </c>
    </row>
    <row r="31" spans="1:8" x14ac:dyDescent="0.3">
      <c r="A31" s="5">
        <v>45495</v>
      </c>
      <c r="B31" s="21" t="s">
        <v>31</v>
      </c>
      <c r="C31" s="22">
        <v>8179</v>
      </c>
      <c r="D31" s="22">
        <v>446</v>
      </c>
      <c r="E31" s="22">
        <v>272227</v>
      </c>
      <c r="F31">
        <v>41.82171496581897</v>
      </c>
      <c r="G31">
        <v>43848</v>
      </c>
      <c r="H31" t="str">
        <f>IF(AND(A31&gt;='Campaign Metadata'!$B$2,A31&lt;='Campaign Metadata'!$C$2),"iPhone 16 Launch", IF(AND(A31&gt;='Campaign Metadata'!$B$3,A31&lt;='Campaign Metadata'!$C$3), "MacBook Air M3 Campaign", IF(AND(A31&gt;='Campaign Metadata'!$B$4,A31&lt;='Campaign Metadata'!$C$4), "Apple Watch Ultra 2 Launch", IF(AND(A31&gt;='Campaign Metadata'!$B$5,A31&lt;='Campaign Metadata'!$C$5), "Sustainability Awareness Drive", IF(AND(A31&gt;='Campaign Metadata'!$B$6,A31&lt;='Campaign Metadata'!$C$6), "Apple Event September 2025", "No Campaign")))))</f>
        <v>No Campaign</v>
      </c>
    </row>
    <row r="32" spans="1:8" x14ac:dyDescent="0.3">
      <c r="A32" s="5">
        <v>45495</v>
      </c>
      <c r="B32" s="21" t="s">
        <v>30</v>
      </c>
      <c r="C32" s="22">
        <v>8967</v>
      </c>
      <c r="D32" s="22">
        <v>993</v>
      </c>
      <c r="E32" s="22">
        <v>280201</v>
      </c>
      <c r="F32">
        <v>52.792102811910027</v>
      </c>
      <c r="G32">
        <v>47804</v>
      </c>
      <c r="H32" t="str">
        <f>IF(AND(A32&gt;='Campaign Metadata'!$B$2,A32&lt;='Campaign Metadata'!$C$2),"iPhone 16 Launch", IF(AND(A32&gt;='Campaign Metadata'!$B$3,A32&lt;='Campaign Metadata'!$C$3), "MacBook Air M3 Campaign", IF(AND(A32&gt;='Campaign Metadata'!$B$4,A32&lt;='Campaign Metadata'!$C$4), "Apple Watch Ultra 2 Launch", IF(AND(A32&gt;='Campaign Metadata'!$B$5,A32&lt;='Campaign Metadata'!$C$5), "Sustainability Awareness Drive", IF(AND(A32&gt;='Campaign Metadata'!$B$6,A32&lt;='Campaign Metadata'!$C$6), "Apple Event September 2025", "No Campaign")))))</f>
        <v>No Campaign</v>
      </c>
    </row>
    <row r="33" spans="1:8" x14ac:dyDescent="0.3">
      <c r="A33" s="5">
        <v>45495</v>
      </c>
      <c r="B33" s="21" t="s">
        <v>32</v>
      </c>
      <c r="C33" s="22">
        <v>9734</v>
      </c>
      <c r="D33" s="22">
        <v>652</v>
      </c>
      <c r="E33" s="22">
        <v>289283</v>
      </c>
      <c r="F33">
        <v>49.647922622483861</v>
      </c>
      <c r="G33">
        <v>25379</v>
      </c>
      <c r="H33" t="str">
        <f>IF(AND(A33&gt;='Campaign Metadata'!$B$2,A33&lt;='Campaign Metadata'!$C$2),"iPhone 16 Launch", IF(AND(A33&gt;='Campaign Metadata'!$B$3,A33&lt;='Campaign Metadata'!$C$3), "MacBook Air M3 Campaign", IF(AND(A33&gt;='Campaign Metadata'!$B$4,A33&lt;='Campaign Metadata'!$C$4), "Apple Watch Ultra 2 Launch", IF(AND(A33&gt;='Campaign Metadata'!$B$5,A33&lt;='Campaign Metadata'!$C$5), "Sustainability Awareness Drive", IF(AND(A33&gt;='Campaign Metadata'!$B$6,A33&lt;='Campaign Metadata'!$C$6), "Apple Event September 2025", "No Campaign")))))</f>
        <v>No Campaign</v>
      </c>
    </row>
    <row r="34" spans="1:8" x14ac:dyDescent="0.3">
      <c r="A34" s="5">
        <v>45502</v>
      </c>
      <c r="B34" s="21" t="s">
        <v>30</v>
      </c>
      <c r="C34" s="22">
        <v>1845</v>
      </c>
      <c r="D34" s="22">
        <v>104</v>
      </c>
      <c r="E34" s="22">
        <v>291024</v>
      </c>
      <c r="F34">
        <v>28.158158777282971</v>
      </c>
      <c r="G34">
        <v>37766</v>
      </c>
      <c r="H34" t="str">
        <f>IF(AND(A34&gt;='Campaign Metadata'!$B$2,A34&lt;='Campaign Metadata'!$C$2),"iPhone 16 Launch", IF(AND(A34&gt;='Campaign Metadata'!$B$3,A34&lt;='Campaign Metadata'!$C$3), "MacBook Air M3 Campaign", IF(AND(A34&gt;='Campaign Metadata'!$B$4,A34&lt;='Campaign Metadata'!$C$4), "Apple Watch Ultra 2 Launch", IF(AND(A34&gt;='Campaign Metadata'!$B$5,A34&lt;='Campaign Metadata'!$C$5), "Sustainability Awareness Drive", IF(AND(A34&gt;='Campaign Metadata'!$B$6,A34&lt;='Campaign Metadata'!$C$6), "Apple Event September 2025", "No Campaign")))))</f>
        <v>No Campaign</v>
      </c>
    </row>
    <row r="35" spans="1:8" x14ac:dyDescent="0.3">
      <c r="A35" s="5">
        <v>45502</v>
      </c>
      <c r="B35" s="21" t="s">
        <v>30</v>
      </c>
      <c r="C35" s="22">
        <v>6777</v>
      </c>
      <c r="D35" s="22">
        <v>981</v>
      </c>
      <c r="E35" s="22">
        <v>296820</v>
      </c>
      <c r="F35">
        <v>23.920557913887201</v>
      </c>
      <c r="G35">
        <v>53590</v>
      </c>
      <c r="H35" t="str">
        <f>IF(AND(A35&gt;='Campaign Metadata'!$B$2,A35&lt;='Campaign Metadata'!$C$2),"iPhone 16 Launch", IF(AND(A35&gt;='Campaign Metadata'!$B$3,A35&lt;='Campaign Metadata'!$C$3), "MacBook Air M3 Campaign", IF(AND(A35&gt;='Campaign Metadata'!$B$4,A35&lt;='Campaign Metadata'!$C$4), "Apple Watch Ultra 2 Launch", IF(AND(A35&gt;='Campaign Metadata'!$B$5,A35&lt;='Campaign Metadata'!$C$5), "Sustainability Awareness Drive", IF(AND(A35&gt;='Campaign Metadata'!$B$6,A35&lt;='Campaign Metadata'!$C$6), "Apple Event September 2025", "No Campaign")))))</f>
        <v>No Campaign</v>
      </c>
    </row>
    <row r="36" spans="1:8" x14ac:dyDescent="0.3">
      <c r="A36" s="5">
        <v>45502</v>
      </c>
      <c r="B36" s="21" t="s">
        <v>32</v>
      </c>
      <c r="C36" s="22">
        <v>4036</v>
      </c>
      <c r="D36" s="22">
        <v>591</v>
      </c>
      <c r="E36" s="22">
        <v>300265</v>
      </c>
      <c r="F36">
        <v>44.219272975538267</v>
      </c>
      <c r="G36">
        <v>12563</v>
      </c>
      <c r="H36" t="str">
        <f>IF(AND(A36&gt;='Campaign Metadata'!$B$2,A36&lt;='Campaign Metadata'!$C$2),"iPhone 16 Launch", IF(AND(A36&gt;='Campaign Metadata'!$B$3,A36&lt;='Campaign Metadata'!$C$3), "MacBook Air M3 Campaign", IF(AND(A36&gt;='Campaign Metadata'!$B$4,A36&lt;='Campaign Metadata'!$C$4), "Apple Watch Ultra 2 Launch", IF(AND(A36&gt;='Campaign Metadata'!$B$5,A36&lt;='Campaign Metadata'!$C$5), "Sustainability Awareness Drive", IF(AND(A36&gt;='Campaign Metadata'!$B$6,A36&lt;='Campaign Metadata'!$C$6), "Apple Event September 2025", "No Campaign")))))</f>
        <v>No Campaign</v>
      </c>
    </row>
    <row r="37" spans="1:8" x14ac:dyDescent="0.3">
      <c r="A37" s="5">
        <v>45502</v>
      </c>
      <c r="B37" s="21" t="s">
        <v>31</v>
      </c>
      <c r="C37" s="22">
        <v>6947</v>
      </c>
      <c r="D37" s="22">
        <v>908</v>
      </c>
      <c r="E37" s="22">
        <v>306304</v>
      </c>
      <c r="F37">
        <v>14.117673944839121</v>
      </c>
      <c r="G37">
        <v>46060</v>
      </c>
      <c r="H37" t="str">
        <f>IF(AND(A37&gt;='Campaign Metadata'!$B$2,A37&lt;='Campaign Metadata'!$C$2),"iPhone 16 Launch", IF(AND(A37&gt;='Campaign Metadata'!$B$3,A37&lt;='Campaign Metadata'!$C$3), "MacBook Air M3 Campaign", IF(AND(A37&gt;='Campaign Metadata'!$B$4,A37&lt;='Campaign Metadata'!$C$4), "Apple Watch Ultra 2 Launch", IF(AND(A37&gt;='Campaign Metadata'!$B$5,A37&lt;='Campaign Metadata'!$C$5), "Sustainability Awareness Drive", IF(AND(A37&gt;='Campaign Metadata'!$B$6,A37&lt;='Campaign Metadata'!$C$6), "Apple Event September 2025", "No Campaign")))))</f>
        <v>No Campaign</v>
      </c>
    </row>
    <row r="38" spans="1:8" x14ac:dyDescent="0.3">
      <c r="A38" s="5">
        <v>45509</v>
      </c>
      <c r="B38" s="21" t="s">
        <v>29</v>
      </c>
      <c r="C38" s="22">
        <v>3494</v>
      </c>
      <c r="D38" s="22">
        <v>281</v>
      </c>
      <c r="E38" s="22">
        <v>309517</v>
      </c>
      <c r="F38">
        <v>27.765518533715429</v>
      </c>
      <c r="G38">
        <v>39197</v>
      </c>
      <c r="H38" t="str">
        <f>IF(AND(A38&gt;='Campaign Metadata'!$B$2,A38&lt;='Campaign Metadata'!$C$2),"iPhone 16 Launch", IF(AND(A38&gt;='Campaign Metadata'!$B$3,A38&lt;='Campaign Metadata'!$C$3), "MacBook Air M3 Campaign", IF(AND(A38&gt;='Campaign Metadata'!$B$4,A38&lt;='Campaign Metadata'!$C$4), "Apple Watch Ultra 2 Launch", IF(AND(A38&gt;='Campaign Metadata'!$B$5,A38&lt;='Campaign Metadata'!$C$5), "Sustainability Awareness Drive", IF(AND(A38&gt;='Campaign Metadata'!$B$6,A38&lt;='Campaign Metadata'!$C$6), "Apple Event September 2025", "No Campaign")))))</f>
        <v>No Campaign</v>
      </c>
    </row>
    <row r="39" spans="1:8" x14ac:dyDescent="0.3">
      <c r="A39" s="5">
        <v>45509</v>
      </c>
      <c r="B39" s="21" t="s">
        <v>31</v>
      </c>
      <c r="C39" s="22">
        <v>3719</v>
      </c>
      <c r="D39" s="22">
        <v>222</v>
      </c>
      <c r="E39" s="22">
        <v>313014</v>
      </c>
      <c r="F39">
        <v>21.669318305251519</v>
      </c>
      <c r="G39">
        <v>13586</v>
      </c>
      <c r="H39" t="str">
        <f>IF(AND(A39&gt;='Campaign Metadata'!$B$2,A39&lt;='Campaign Metadata'!$C$2),"iPhone 16 Launch", IF(AND(A39&gt;='Campaign Metadata'!$B$3,A39&lt;='Campaign Metadata'!$C$3), "MacBook Air M3 Campaign", IF(AND(A39&gt;='Campaign Metadata'!$B$4,A39&lt;='Campaign Metadata'!$C$4), "Apple Watch Ultra 2 Launch", IF(AND(A39&gt;='Campaign Metadata'!$B$5,A39&lt;='Campaign Metadata'!$C$5), "Sustainability Awareness Drive", IF(AND(A39&gt;='Campaign Metadata'!$B$6,A39&lt;='Campaign Metadata'!$C$6), "Apple Event September 2025", "No Campaign")))))</f>
        <v>No Campaign</v>
      </c>
    </row>
    <row r="40" spans="1:8" x14ac:dyDescent="0.3">
      <c r="A40" s="5">
        <v>45509</v>
      </c>
      <c r="B40" s="21" t="s">
        <v>32</v>
      </c>
      <c r="C40" s="22">
        <v>2884</v>
      </c>
      <c r="D40" s="22">
        <v>341</v>
      </c>
      <c r="E40" s="22">
        <v>315557</v>
      </c>
      <c r="F40">
        <v>46.999749649033298</v>
      </c>
      <c r="G40">
        <v>26087</v>
      </c>
      <c r="H40" t="str">
        <f>IF(AND(A40&gt;='Campaign Metadata'!$B$2,A40&lt;='Campaign Metadata'!$C$2),"iPhone 16 Launch", IF(AND(A40&gt;='Campaign Metadata'!$B$3,A40&lt;='Campaign Metadata'!$C$3), "MacBook Air M3 Campaign", IF(AND(A40&gt;='Campaign Metadata'!$B$4,A40&lt;='Campaign Metadata'!$C$4), "Apple Watch Ultra 2 Launch", IF(AND(A40&gt;='Campaign Metadata'!$B$5,A40&lt;='Campaign Metadata'!$C$5), "Sustainability Awareness Drive", IF(AND(A40&gt;='Campaign Metadata'!$B$6,A40&lt;='Campaign Metadata'!$C$6), "Apple Event September 2025", "No Campaign")))))</f>
        <v>No Campaign</v>
      </c>
    </row>
    <row r="41" spans="1:8" x14ac:dyDescent="0.3">
      <c r="A41" s="5">
        <v>45509</v>
      </c>
      <c r="B41" s="21" t="s">
        <v>30</v>
      </c>
      <c r="C41" s="22">
        <v>5349</v>
      </c>
      <c r="D41" s="22">
        <v>502</v>
      </c>
      <c r="E41" s="22">
        <v>320404</v>
      </c>
      <c r="F41">
        <v>5.2152906954969351</v>
      </c>
      <c r="G41">
        <v>58868</v>
      </c>
      <c r="H41" t="str">
        <f>IF(AND(A41&gt;='Campaign Metadata'!$B$2,A41&lt;='Campaign Metadata'!$C$2),"iPhone 16 Launch", IF(AND(A41&gt;='Campaign Metadata'!$B$3,A41&lt;='Campaign Metadata'!$C$3), "MacBook Air M3 Campaign", IF(AND(A41&gt;='Campaign Metadata'!$B$4,A41&lt;='Campaign Metadata'!$C$4), "Apple Watch Ultra 2 Launch", IF(AND(A41&gt;='Campaign Metadata'!$B$5,A41&lt;='Campaign Metadata'!$C$5), "Sustainability Awareness Drive", IF(AND(A41&gt;='Campaign Metadata'!$B$6,A41&lt;='Campaign Metadata'!$C$6), "Apple Event September 2025", "No Campaign")))))</f>
        <v>No Campaign</v>
      </c>
    </row>
    <row r="42" spans="1:8" x14ac:dyDescent="0.3">
      <c r="A42" s="5">
        <v>45516</v>
      </c>
      <c r="B42" s="21" t="s">
        <v>31</v>
      </c>
      <c r="C42" s="22">
        <v>6179</v>
      </c>
      <c r="D42" s="22">
        <v>384</v>
      </c>
      <c r="E42" s="22">
        <v>326199</v>
      </c>
      <c r="F42">
        <v>14.71218489327067</v>
      </c>
      <c r="G42">
        <v>33225</v>
      </c>
      <c r="H42" t="str">
        <f>IF(AND(A42&gt;='Campaign Metadata'!$B$2,A42&lt;='Campaign Metadata'!$C$2),"iPhone 16 Launch", IF(AND(A42&gt;='Campaign Metadata'!$B$3,A42&lt;='Campaign Metadata'!$C$3), "MacBook Air M3 Campaign", IF(AND(A42&gt;='Campaign Metadata'!$B$4,A42&lt;='Campaign Metadata'!$C$4), "Apple Watch Ultra 2 Launch", IF(AND(A42&gt;='Campaign Metadata'!$B$5,A42&lt;='Campaign Metadata'!$C$5), "Sustainability Awareness Drive", IF(AND(A42&gt;='Campaign Metadata'!$B$6,A42&lt;='Campaign Metadata'!$C$6), "Apple Event September 2025", "No Campaign")))))</f>
        <v>No Campaign</v>
      </c>
    </row>
    <row r="43" spans="1:8" x14ac:dyDescent="0.3">
      <c r="A43" s="5">
        <v>45516</v>
      </c>
      <c r="B43" s="21" t="s">
        <v>29</v>
      </c>
      <c r="C43" s="22">
        <v>7610</v>
      </c>
      <c r="D43" s="22">
        <v>757</v>
      </c>
      <c r="E43" s="22">
        <v>333052</v>
      </c>
      <c r="F43">
        <v>44.450416151231643</v>
      </c>
      <c r="G43">
        <v>39750</v>
      </c>
      <c r="H43" t="str">
        <f>IF(AND(A43&gt;='Campaign Metadata'!$B$2,A43&lt;='Campaign Metadata'!$C$2),"iPhone 16 Launch", IF(AND(A43&gt;='Campaign Metadata'!$B$3,A43&lt;='Campaign Metadata'!$C$3), "MacBook Air M3 Campaign", IF(AND(A43&gt;='Campaign Metadata'!$B$4,A43&lt;='Campaign Metadata'!$C$4), "Apple Watch Ultra 2 Launch", IF(AND(A43&gt;='Campaign Metadata'!$B$5,A43&lt;='Campaign Metadata'!$C$5), "Sustainability Awareness Drive", IF(AND(A43&gt;='Campaign Metadata'!$B$6,A43&lt;='Campaign Metadata'!$C$6), "Apple Event September 2025", "No Campaign")))))</f>
        <v>No Campaign</v>
      </c>
    </row>
    <row r="44" spans="1:8" x14ac:dyDescent="0.3">
      <c r="A44" s="5">
        <v>45516</v>
      </c>
      <c r="B44" s="21" t="s">
        <v>32</v>
      </c>
      <c r="C44" s="22">
        <v>7430</v>
      </c>
      <c r="D44" s="22">
        <v>397</v>
      </c>
      <c r="E44" s="22">
        <v>340085</v>
      </c>
      <c r="F44">
        <v>28.065042562888689</v>
      </c>
      <c r="G44">
        <v>16643</v>
      </c>
      <c r="H44" t="str">
        <f>IF(AND(A44&gt;='Campaign Metadata'!$B$2,A44&lt;='Campaign Metadata'!$C$2),"iPhone 16 Launch", IF(AND(A44&gt;='Campaign Metadata'!$B$3,A44&lt;='Campaign Metadata'!$C$3), "MacBook Air M3 Campaign", IF(AND(A44&gt;='Campaign Metadata'!$B$4,A44&lt;='Campaign Metadata'!$C$4), "Apple Watch Ultra 2 Launch", IF(AND(A44&gt;='Campaign Metadata'!$B$5,A44&lt;='Campaign Metadata'!$C$5), "Sustainability Awareness Drive", IF(AND(A44&gt;='Campaign Metadata'!$B$6,A44&lt;='Campaign Metadata'!$C$6), "Apple Event September 2025", "No Campaign")))))</f>
        <v>No Campaign</v>
      </c>
    </row>
    <row r="45" spans="1:8" x14ac:dyDescent="0.3">
      <c r="A45" s="5">
        <v>45516</v>
      </c>
      <c r="B45" s="21" t="s">
        <v>31</v>
      </c>
      <c r="C45" s="22">
        <v>8154</v>
      </c>
      <c r="D45" s="22">
        <v>1149</v>
      </c>
      <c r="E45" s="22">
        <v>347090</v>
      </c>
      <c r="F45">
        <v>26.003918292085629</v>
      </c>
      <c r="G45">
        <v>37523</v>
      </c>
      <c r="H45" t="str">
        <f>IF(AND(A45&gt;='Campaign Metadata'!$B$2,A45&lt;='Campaign Metadata'!$C$2),"iPhone 16 Launch", IF(AND(A45&gt;='Campaign Metadata'!$B$3,A45&lt;='Campaign Metadata'!$C$3), "MacBook Air M3 Campaign", IF(AND(A45&gt;='Campaign Metadata'!$B$4,A45&lt;='Campaign Metadata'!$C$4), "Apple Watch Ultra 2 Launch", IF(AND(A45&gt;='Campaign Metadata'!$B$5,A45&lt;='Campaign Metadata'!$C$5), "Sustainability Awareness Drive", IF(AND(A45&gt;='Campaign Metadata'!$B$6,A45&lt;='Campaign Metadata'!$C$6), "Apple Event September 2025", "No Campaign")))))</f>
        <v>No Campaign</v>
      </c>
    </row>
    <row r="46" spans="1:8" x14ac:dyDescent="0.3">
      <c r="A46" s="5">
        <v>45523</v>
      </c>
      <c r="B46" s="21" t="s">
        <v>29</v>
      </c>
      <c r="C46" s="22">
        <v>7488</v>
      </c>
      <c r="D46" s="22">
        <v>568</v>
      </c>
      <c r="E46" s="22">
        <v>354010</v>
      </c>
      <c r="F46">
        <v>13.47730290104799</v>
      </c>
      <c r="G46">
        <v>46727</v>
      </c>
      <c r="H46" t="str">
        <f>IF(AND(A46&gt;='Campaign Metadata'!$B$2,A46&lt;='Campaign Metadata'!$C$2),"iPhone 16 Launch", IF(AND(A46&gt;='Campaign Metadata'!$B$3,A46&lt;='Campaign Metadata'!$C$3), "MacBook Air M3 Campaign", IF(AND(A46&gt;='Campaign Metadata'!$B$4,A46&lt;='Campaign Metadata'!$C$4), "Apple Watch Ultra 2 Launch", IF(AND(A46&gt;='Campaign Metadata'!$B$5,A46&lt;='Campaign Metadata'!$C$5), "Sustainability Awareness Drive", IF(AND(A46&gt;='Campaign Metadata'!$B$6,A46&lt;='Campaign Metadata'!$C$6), "Apple Event September 2025", "No Campaign")))))</f>
        <v>No Campaign</v>
      </c>
    </row>
    <row r="47" spans="1:8" x14ac:dyDescent="0.3">
      <c r="A47" s="5">
        <v>45523</v>
      </c>
      <c r="B47" s="21" t="s">
        <v>32</v>
      </c>
      <c r="C47" s="22">
        <v>5737</v>
      </c>
      <c r="D47" s="22">
        <v>666</v>
      </c>
      <c r="E47" s="22">
        <v>359081</v>
      </c>
      <c r="F47">
        <v>4.6034181702735593</v>
      </c>
      <c r="G47">
        <v>21005</v>
      </c>
      <c r="H47" t="str">
        <f>IF(AND(A47&gt;='Campaign Metadata'!$B$2,A47&lt;='Campaign Metadata'!$C$2),"iPhone 16 Launch", IF(AND(A47&gt;='Campaign Metadata'!$B$3,A47&lt;='Campaign Metadata'!$C$3), "MacBook Air M3 Campaign", IF(AND(A47&gt;='Campaign Metadata'!$B$4,A47&lt;='Campaign Metadata'!$C$4), "Apple Watch Ultra 2 Launch", IF(AND(A47&gt;='Campaign Metadata'!$B$5,A47&lt;='Campaign Metadata'!$C$5), "Sustainability Awareness Drive", IF(AND(A47&gt;='Campaign Metadata'!$B$6,A47&lt;='Campaign Metadata'!$C$6), "Apple Event September 2025", "No Campaign")))))</f>
        <v>No Campaign</v>
      </c>
    </row>
    <row r="48" spans="1:8" x14ac:dyDescent="0.3">
      <c r="A48" s="5">
        <v>45523</v>
      </c>
      <c r="B48" s="21" t="s">
        <v>29</v>
      </c>
      <c r="C48" s="22">
        <v>7525</v>
      </c>
      <c r="D48" s="22">
        <v>610</v>
      </c>
      <c r="E48" s="22">
        <v>365996</v>
      </c>
      <c r="F48">
        <v>5.7694619613329108</v>
      </c>
      <c r="G48">
        <v>53543</v>
      </c>
      <c r="H48" t="str">
        <f>IF(AND(A48&gt;='Campaign Metadata'!$B$2,A48&lt;='Campaign Metadata'!$C$2),"iPhone 16 Launch", IF(AND(A48&gt;='Campaign Metadata'!$B$3,A48&lt;='Campaign Metadata'!$C$3), "MacBook Air M3 Campaign", IF(AND(A48&gt;='Campaign Metadata'!$B$4,A48&lt;='Campaign Metadata'!$C$4), "Apple Watch Ultra 2 Launch", IF(AND(A48&gt;='Campaign Metadata'!$B$5,A48&lt;='Campaign Metadata'!$C$5), "Sustainability Awareness Drive", IF(AND(A48&gt;='Campaign Metadata'!$B$6,A48&lt;='Campaign Metadata'!$C$6), "Apple Event September 2025", "No Campaign")))))</f>
        <v>No Campaign</v>
      </c>
    </row>
    <row r="49" spans="1:8" x14ac:dyDescent="0.3">
      <c r="A49" s="5">
        <v>45523</v>
      </c>
      <c r="B49" s="21" t="s">
        <v>32</v>
      </c>
      <c r="C49" s="22">
        <v>4850</v>
      </c>
      <c r="D49" s="22">
        <v>494</v>
      </c>
      <c r="E49" s="22">
        <v>370352</v>
      </c>
      <c r="F49">
        <v>20.46539508359615</v>
      </c>
      <c r="G49">
        <v>10161</v>
      </c>
      <c r="H49" t="str">
        <f>IF(AND(A49&gt;='Campaign Metadata'!$B$2,A49&lt;='Campaign Metadata'!$C$2),"iPhone 16 Launch", IF(AND(A49&gt;='Campaign Metadata'!$B$3,A49&lt;='Campaign Metadata'!$C$3), "MacBook Air M3 Campaign", IF(AND(A49&gt;='Campaign Metadata'!$B$4,A49&lt;='Campaign Metadata'!$C$4), "Apple Watch Ultra 2 Launch", IF(AND(A49&gt;='Campaign Metadata'!$B$5,A49&lt;='Campaign Metadata'!$C$5), "Sustainability Awareness Drive", IF(AND(A49&gt;='Campaign Metadata'!$B$6,A49&lt;='Campaign Metadata'!$C$6), "Apple Event September 2025", "No Campaign")))))</f>
        <v>No Campaign</v>
      </c>
    </row>
    <row r="50" spans="1:8" x14ac:dyDescent="0.3">
      <c r="A50" s="5">
        <v>45530</v>
      </c>
      <c r="B50" s="21" t="s">
        <v>30</v>
      </c>
      <c r="C50" s="22">
        <v>1689</v>
      </c>
      <c r="D50" s="22">
        <v>176</v>
      </c>
      <c r="E50" s="22">
        <v>371865</v>
      </c>
      <c r="F50">
        <v>38.012181840183942</v>
      </c>
      <c r="G50">
        <v>26029</v>
      </c>
      <c r="H50" t="str">
        <f>IF(AND(A50&gt;='Campaign Metadata'!$B$2,A50&lt;='Campaign Metadata'!$C$2),"iPhone 16 Launch", IF(AND(A50&gt;='Campaign Metadata'!$B$3,A50&lt;='Campaign Metadata'!$C$3), "MacBook Air M3 Campaign", IF(AND(A50&gt;='Campaign Metadata'!$B$4,A50&lt;='Campaign Metadata'!$C$4), "Apple Watch Ultra 2 Launch", IF(AND(A50&gt;='Campaign Metadata'!$B$5,A50&lt;='Campaign Metadata'!$C$5), "Sustainability Awareness Drive", IF(AND(A50&gt;='Campaign Metadata'!$B$6,A50&lt;='Campaign Metadata'!$C$6), "Apple Event September 2025", "No Campaign")))))</f>
        <v>No Campaign</v>
      </c>
    </row>
    <row r="51" spans="1:8" x14ac:dyDescent="0.3">
      <c r="A51" s="5">
        <v>45530</v>
      </c>
      <c r="B51" s="21" t="s">
        <v>31</v>
      </c>
      <c r="C51" s="22">
        <v>6175</v>
      </c>
      <c r="D51" s="22">
        <v>422</v>
      </c>
      <c r="E51" s="22">
        <v>377618</v>
      </c>
      <c r="F51">
        <v>37.86101298137271</v>
      </c>
      <c r="G51">
        <v>59745</v>
      </c>
      <c r="H51" t="str">
        <f>IF(AND(A51&gt;='Campaign Metadata'!$B$2,A51&lt;='Campaign Metadata'!$C$2),"iPhone 16 Launch", IF(AND(A51&gt;='Campaign Metadata'!$B$3,A51&lt;='Campaign Metadata'!$C$3), "MacBook Air M3 Campaign", IF(AND(A51&gt;='Campaign Metadata'!$B$4,A51&lt;='Campaign Metadata'!$C$4), "Apple Watch Ultra 2 Launch", IF(AND(A51&gt;='Campaign Metadata'!$B$5,A51&lt;='Campaign Metadata'!$C$5), "Sustainability Awareness Drive", IF(AND(A51&gt;='Campaign Metadata'!$B$6,A51&lt;='Campaign Metadata'!$C$6), "Apple Event September 2025", "No Campaign")))))</f>
        <v>No Campaign</v>
      </c>
    </row>
    <row r="52" spans="1:8" x14ac:dyDescent="0.3">
      <c r="A52" s="5">
        <v>45530</v>
      </c>
      <c r="B52" s="21" t="s">
        <v>29</v>
      </c>
      <c r="C52" s="22">
        <v>9648</v>
      </c>
      <c r="D52" s="22">
        <v>1417</v>
      </c>
      <c r="E52" s="22">
        <v>385849</v>
      </c>
      <c r="F52">
        <v>3.6633501706626168</v>
      </c>
      <c r="G52">
        <v>24226</v>
      </c>
      <c r="H52" t="str">
        <f>IF(AND(A52&gt;='Campaign Metadata'!$B$2,A52&lt;='Campaign Metadata'!$C$2),"iPhone 16 Launch", IF(AND(A52&gt;='Campaign Metadata'!$B$3,A52&lt;='Campaign Metadata'!$C$3), "MacBook Air M3 Campaign", IF(AND(A52&gt;='Campaign Metadata'!$B$4,A52&lt;='Campaign Metadata'!$C$4), "Apple Watch Ultra 2 Launch", IF(AND(A52&gt;='Campaign Metadata'!$B$5,A52&lt;='Campaign Metadata'!$C$5), "Sustainability Awareness Drive", IF(AND(A52&gt;='Campaign Metadata'!$B$6,A52&lt;='Campaign Metadata'!$C$6), "Apple Event September 2025", "No Campaign")))))</f>
        <v>No Campaign</v>
      </c>
    </row>
    <row r="53" spans="1:8" x14ac:dyDescent="0.3">
      <c r="A53" s="5">
        <v>45530</v>
      </c>
      <c r="B53" s="21" t="s">
        <v>32</v>
      </c>
      <c r="C53" s="22">
        <v>6078</v>
      </c>
      <c r="D53" s="22">
        <v>775</v>
      </c>
      <c r="E53" s="22">
        <v>391152</v>
      </c>
      <c r="F53">
        <v>37.760512537325639</v>
      </c>
      <c r="G53">
        <v>38731</v>
      </c>
      <c r="H53" t="str">
        <f>IF(AND(A53&gt;='Campaign Metadata'!$B$2,A53&lt;='Campaign Metadata'!$C$2),"iPhone 16 Launch", IF(AND(A53&gt;='Campaign Metadata'!$B$3,A53&lt;='Campaign Metadata'!$C$3), "MacBook Air M3 Campaign", IF(AND(A53&gt;='Campaign Metadata'!$B$4,A53&lt;='Campaign Metadata'!$C$4), "Apple Watch Ultra 2 Launch", IF(AND(A53&gt;='Campaign Metadata'!$B$5,A53&lt;='Campaign Metadata'!$C$5), "Sustainability Awareness Drive", IF(AND(A53&gt;='Campaign Metadata'!$B$6,A53&lt;='Campaign Metadata'!$C$6), "Apple Event September 2025", "No Campaign")))))</f>
        <v>No Campaign</v>
      </c>
    </row>
    <row r="54" spans="1:8" x14ac:dyDescent="0.3">
      <c r="A54" s="5">
        <v>45537</v>
      </c>
      <c r="B54" s="21" t="s">
        <v>29</v>
      </c>
      <c r="C54" s="22">
        <v>6448</v>
      </c>
      <c r="D54" s="22">
        <v>928</v>
      </c>
      <c r="E54" s="22">
        <v>396672</v>
      </c>
      <c r="F54">
        <v>30.118586640851881</v>
      </c>
      <c r="G54">
        <v>53922</v>
      </c>
      <c r="H54" t="str">
        <f>IF(AND(A54&gt;='Campaign Metadata'!$B$2,A54&lt;='Campaign Metadata'!$C$2),"iPhone 16 Launch", IF(AND(A54&gt;='Campaign Metadata'!$B$3,A54&lt;='Campaign Metadata'!$C$3), "MacBook Air M3 Campaign", IF(AND(A54&gt;='Campaign Metadata'!$B$4,A54&lt;='Campaign Metadata'!$C$4), "Apple Watch Ultra 2 Launch", IF(AND(A54&gt;='Campaign Metadata'!$B$5,A54&lt;='Campaign Metadata'!$C$5), "Sustainability Awareness Drive", IF(AND(A54&gt;='Campaign Metadata'!$B$6,A54&lt;='Campaign Metadata'!$C$6), "Apple Event September 2025", "No Campaign")))))</f>
        <v>No Campaign</v>
      </c>
    </row>
    <row r="55" spans="1:8" x14ac:dyDescent="0.3">
      <c r="A55" s="5">
        <v>45537</v>
      </c>
      <c r="B55" s="21" t="s">
        <v>29</v>
      </c>
      <c r="C55" s="22">
        <v>2179</v>
      </c>
      <c r="D55" s="22">
        <v>303</v>
      </c>
      <c r="E55" s="22">
        <v>398548</v>
      </c>
      <c r="F55">
        <v>33.909842729106657</v>
      </c>
      <c r="G55">
        <v>54848</v>
      </c>
      <c r="H55" t="str">
        <f>IF(AND(A55&gt;='Campaign Metadata'!$B$2,A55&lt;='Campaign Metadata'!$C$2),"iPhone 16 Launch", IF(AND(A55&gt;='Campaign Metadata'!$B$3,A55&lt;='Campaign Metadata'!$C$3), "MacBook Air M3 Campaign", IF(AND(A55&gt;='Campaign Metadata'!$B$4,A55&lt;='Campaign Metadata'!$C$4), "Apple Watch Ultra 2 Launch", IF(AND(A55&gt;='Campaign Metadata'!$B$5,A55&lt;='Campaign Metadata'!$C$5), "Sustainability Awareness Drive", IF(AND(A55&gt;='Campaign Metadata'!$B$6,A55&lt;='Campaign Metadata'!$C$6), "Apple Event September 2025", "No Campaign")))))</f>
        <v>No Campaign</v>
      </c>
    </row>
    <row r="56" spans="1:8" x14ac:dyDescent="0.3">
      <c r="A56" s="5">
        <v>45537</v>
      </c>
      <c r="B56" s="21" t="s">
        <v>31</v>
      </c>
      <c r="C56" s="22">
        <v>7406</v>
      </c>
      <c r="D56" s="22">
        <v>813</v>
      </c>
      <c r="E56" s="22">
        <v>405141</v>
      </c>
      <c r="F56">
        <v>24.457411123534769</v>
      </c>
      <c r="G56">
        <v>13390</v>
      </c>
      <c r="H56" t="str">
        <f>IF(AND(A56&gt;='Campaign Metadata'!$B$2,A56&lt;='Campaign Metadata'!$C$2),"iPhone 16 Launch", IF(AND(A56&gt;='Campaign Metadata'!$B$3,A56&lt;='Campaign Metadata'!$C$3), "MacBook Air M3 Campaign", IF(AND(A56&gt;='Campaign Metadata'!$B$4,A56&lt;='Campaign Metadata'!$C$4), "Apple Watch Ultra 2 Launch", IF(AND(A56&gt;='Campaign Metadata'!$B$5,A56&lt;='Campaign Metadata'!$C$5), "Sustainability Awareness Drive", IF(AND(A56&gt;='Campaign Metadata'!$B$6,A56&lt;='Campaign Metadata'!$C$6), "Apple Event September 2025", "No Campaign")))))</f>
        <v>No Campaign</v>
      </c>
    </row>
    <row r="57" spans="1:8" x14ac:dyDescent="0.3">
      <c r="A57" s="5">
        <v>45537</v>
      </c>
      <c r="B57" s="21" t="s">
        <v>30</v>
      </c>
      <c r="C57" s="22">
        <v>9591</v>
      </c>
      <c r="D57" s="22">
        <v>1363</v>
      </c>
      <c r="E57" s="22">
        <v>413369</v>
      </c>
      <c r="F57">
        <v>10.494255737609739</v>
      </c>
      <c r="G57">
        <v>15997</v>
      </c>
      <c r="H57" t="str">
        <f>IF(AND(A57&gt;='Campaign Metadata'!$B$2,A57&lt;='Campaign Metadata'!$C$2),"iPhone 16 Launch", IF(AND(A57&gt;='Campaign Metadata'!$B$3,A57&lt;='Campaign Metadata'!$C$3), "MacBook Air M3 Campaign", IF(AND(A57&gt;='Campaign Metadata'!$B$4,A57&lt;='Campaign Metadata'!$C$4), "Apple Watch Ultra 2 Launch", IF(AND(A57&gt;='Campaign Metadata'!$B$5,A57&lt;='Campaign Metadata'!$C$5), "Sustainability Awareness Drive", IF(AND(A57&gt;='Campaign Metadata'!$B$6,A57&lt;='Campaign Metadata'!$C$6), "Apple Event September 2025", "No Campaign")))))</f>
        <v>No Campaign</v>
      </c>
    </row>
    <row r="58" spans="1:8" x14ac:dyDescent="0.3">
      <c r="A58" s="5">
        <v>45544</v>
      </c>
      <c r="B58" s="21" t="s">
        <v>29</v>
      </c>
      <c r="C58" s="22">
        <v>7907</v>
      </c>
      <c r="D58" s="22">
        <v>465</v>
      </c>
      <c r="E58" s="22">
        <v>420811</v>
      </c>
      <c r="F58">
        <v>33.257448118038738</v>
      </c>
      <c r="G58">
        <v>22693</v>
      </c>
      <c r="H58" t="str">
        <f>IF(AND(A58&gt;='Campaign Metadata'!$B$2,A58&lt;='Campaign Metadata'!$C$2),"iPhone 16 Launch", IF(AND(A58&gt;='Campaign Metadata'!$B$3,A58&lt;='Campaign Metadata'!$C$3), "MacBook Air M3 Campaign", IF(AND(A58&gt;='Campaign Metadata'!$B$4,A58&lt;='Campaign Metadata'!$C$4), "Apple Watch Ultra 2 Launch", IF(AND(A58&gt;='Campaign Metadata'!$B$5,A58&lt;='Campaign Metadata'!$C$5), "Sustainability Awareness Drive", IF(AND(A58&gt;='Campaign Metadata'!$B$6,A58&lt;='Campaign Metadata'!$C$6), "Apple Event September 2025", "No Campaign")))))</f>
        <v>No Campaign</v>
      </c>
    </row>
    <row r="59" spans="1:8" x14ac:dyDescent="0.3">
      <c r="A59" s="5">
        <v>45544</v>
      </c>
      <c r="B59" s="21" t="s">
        <v>32</v>
      </c>
      <c r="C59" s="22">
        <v>9800</v>
      </c>
      <c r="D59" s="22">
        <v>682</v>
      </c>
      <c r="E59" s="22">
        <v>429929</v>
      </c>
      <c r="F59">
        <v>6.2966210699906267</v>
      </c>
      <c r="G59">
        <v>59815</v>
      </c>
      <c r="H59" t="str">
        <f>IF(AND(A59&gt;='Campaign Metadata'!$B$2,A59&lt;='Campaign Metadata'!$C$2),"iPhone 16 Launch", IF(AND(A59&gt;='Campaign Metadata'!$B$3,A59&lt;='Campaign Metadata'!$C$3), "MacBook Air M3 Campaign", IF(AND(A59&gt;='Campaign Metadata'!$B$4,A59&lt;='Campaign Metadata'!$C$4), "Apple Watch Ultra 2 Launch", IF(AND(A59&gt;='Campaign Metadata'!$B$5,A59&lt;='Campaign Metadata'!$C$5), "Sustainability Awareness Drive", IF(AND(A59&gt;='Campaign Metadata'!$B$6,A59&lt;='Campaign Metadata'!$C$6), "Apple Event September 2025", "No Campaign")))))</f>
        <v>No Campaign</v>
      </c>
    </row>
    <row r="60" spans="1:8" x14ac:dyDescent="0.3">
      <c r="A60" s="5">
        <v>45544</v>
      </c>
      <c r="B60" s="21" t="s">
        <v>32</v>
      </c>
      <c r="C60" s="22">
        <v>2638</v>
      </c>
      <c r="D60" s="22">
        <v>143</v>
      </c>
      <c r="E60" s="22">
        <v>432424</v>
      </c>
      <c r="F60">
        <v>6.9547481175882924</v>
      </c>
      <c r="G60">
        <v>52092</v>
      </c>
      <c r="H60" t="str">
        <f>IF(AND(A60&gt;='Campaign Metadata'!$B$2,A60&lt;='Campaign Metadata'!$C$2),"iPhone 16 Launch", IF(AND(A60&gt;='Campaign Metadata'!$B$3,A60&lt;='Campaign Metadata'!$C$3), "MacBook Air M3 Campaign", IF(AND(A60&gt;='Campaign Metadata'!$B$4,A60&lt;='Campaign Metadata'!$C$4), "Apple Watch Ultra 2 Launch", IF(AND(A60&gt;='Campaign Metadata'!$B$5,A60&lt;='Campaign Metadata'!$C$5), "Sustainability Awareness Drive", IF(AND(A60&gt;='Campaign Metadata'!$B$6,A60&lt;='Campaign Metadata'!$C$6), "Apple Event September 2025", "No Campaign")))))</f>
        <v>No Campaign</v>
      </c>
    </row>
    <row r="61" spans="1:8" x14ac:dyDescent="0.3">
      <c r="A61" s="5">
        <v>45544</v>
      </c>
      <c r="B61" s="21" t="s">
        <v>30</v>
      </c>
      <c r="C61" s="22">
        <v>6671</v>
      </c>
      <c r="D61" s="22">
        <v>550</v>
      </c>
      <c r="E61" s="22">
        <v>438545</v>
      </c>
      <c r="F61">
        <v>17.750287883797562</v>
      </c>
      <c r="G61">
        <v>10541</v>
      </c>
      <c r="H61" t="str">
        <f>IF(AND(A61&gt;='Campaign Metadata'!$B$2,A61&lt;='Campaign Metadata'!$C$2),"iPhone 16 Launch", IF(AND(A61&gt;='Campaign Metadata'!$B$3,A61&lt;='Campaign Metadata'!$C$3), "MacBook Air M3 Campaign", IF(AND(A61&gt;='Campaign Metadata'!$B$4,A61&lt;='Campaign Metadata'!$C$4), "Apple Watch Ultra 2 Launch", IF(AND(A61&gt;='Campaign Metadata'!$B$5,A61&lt;='Campaign Metadata'!$C$5), "Sustainability Awareness Drive", IF(AND(A61&gt;='Campaign Metadata'!$B$6,A61&lt;='Campaign Metadata'!$C$6), "Apple Event September 2025", "No Campaign")))))</f>
        <v>No Campaign</v>
      </c>
    </row>
    <row r="62" spans="1:8" x14ac:dyDescent="0.3">
      <c r="A62" s="5">
        <v>45551</v>
      </c>
      <c r="B62" s="21" t="s">
        <v>32</v>
      </c>
      <c r="C62" s="22">
        <v>7928</v>
      </c>
      <c r="D62" s="22">
        <v>704</v>
      </c>
      <c r="E62" s="22">
        <v>445769</v>
      </c>
      <c r="F62">
        <v>11.194362999670229</v>
      </c>
      <c r="G62">
        <v>31817</v>
      </c>
      <c r="H62" t="str">
        <f>IF(AND(A62&gt;='Campaign Metadata'!$B$2,A62&lt;='Campaign Metadata'!$C$2),"iPhone 16 Launch", IF(AND(A62&gt;='Campaign Metadata'!$B$3,A62&lt;='Campaign Metadata'!$C$3), "MacBook Air M3 Campaign", IF(AND(A62&gt;='Campaign Metadata'!$B$4,A62&lt;='Campaign Metadata'!$C$4), "Apple Watch Ultra 2 Launch", IF(AND(A62&gt;='Campaign Metadata'!$B$5,A62&lt;='Campaign Metadata'!$C$5), "Sustainability Awareness Drive", IF(AND(A62&gt;='Campaign Metadata'!$B$6,A62&lt;='Campaign Metadata'!$C$6), "Apple Event September 2025", "No Campaign")))))</f>
        <v>No Campaign</v>
      </c>
    </row>
    <row r="63" spans="1:8" x14ac:dyDescent="0.3">
      <c r="A63" s="5">
        <v>45551</v>
      </c>
      <c r="B63" s="21" t="s">
        <v>30</v>
      </c>
      <c r="C63" s="22">
        <v>2382</v>
      </c>
      <c r="D63" s="22">
        <v>183</v>
      </c>
      <c r="E63" s="22">
        <v>447968</v>
      </c>
      <c r="F63">
        <v>4.7335970426459033</v>
      </c>
      <c r="G63">
        <v>47861</v>
      </c>
      <c r="H63" t="str">
        <f>IF(AND(A63&gt;='Campaign Metadata'!$B$2,A63&lt;='Campaign Metadata'!$C$2),"iPhone 16 Launch", IF(AND(A63&gt;='Campaign Metadata'!$B$3,A63&lt;='Campaign Metadata'!$C$3), "MacBook Air M3 Campaign", IF(AND(A63&gt;='Campaign Metadata'!$B$4,A63&lt;='Campaign Metadata'!$C$4), "Apple Watch Ultra 2 Launch", IF(AND(A63&gt;='Campaign Metadata'!$B$5,A63&lt;='Campaign Metadata'!$C$5), "Sustainability Awareness Drive", IF(AND(A63&gt;='Campaign Metadata'!$B$6,A63&lt;='Campaign Metadata'!$C$6), "Apple Event September 2025", "No Campaign")))))</f>
        <v>No Campaign</v>
      </c>
    </row>
    <row r="64" spans="1:8" x14ac:dyDescent="0.3">
      <c r="A64" s="5">
        <v>45551</v>
      </c>
      <c r="B64" s="21" t="s">
        <v>32</v>
      </c>
      <c r="C64" s="22">
        <v>2403</v>
      </c>
      <c r="D64" s="22">
        <v>319</v>
      </c>
      <c r="E64" s="22">
        <v>450052</v>
      </c>
      <c r="F64">
        <v>29.92120910472568</v>
      </c>
      <c r="G64">
        <v>23428</v>
      </c>
      <c r="H64" t="str">
        <f>IF(AND(A64&gt;='Campaign Metadata'!$B$2,A64&lt;='Campaign Metadata'!$C$2),"iPhone 16 Launch", IF(AND(A64&gt;='Campaign Metadata'!$B$3,A64&lt;='Campaign Metadata'!$C$3), "MacBook Air M3 Campaign", IF(AND(A64&gt;='Campaign Metadata'!$B$4,A64&lt;='Campaign Metadata'!$C$4), "Apple Watch Ultra 2 Launch", IF(AND(A64&gt;='Campaign Metadata'!$B$5,A64&lt;='Campaign Metadata'!$C$5), "Sustainability Awareness Drive", IF(AND(A64&gt;='Campaign Metadata'!$B$6,A64&lt;='Campaign Metadata'!$C$6), "Apple Event September 2025", "No Campaign")))))</f>
        <v>No Campaign</v>
      </c>
    </row>
    <row r="65" spans="1:8" x14ac:dyDescent="0.3">
      <c r="A65" s="5">
        <v>45551</v>
      </c>
      <c r="B65" s="21" t="s">
        <v>31</v>
      </c>
      <c r="C65" s="22">
        <v>4292</v>
      </c>
      <c r="D65" s="22">
        <v>367</v>
      </c>
      <c r="E65" s="22">
        <v>453977</v>
      </c>
      <c r="F65">
        <v>3.5037017293827661</v>
      </c>
      <c r="G65">
        <v>53934</v>
      </c>
      <c r="H65" t="str">
        <f>IF(AND(A65&gt;='Campaign Metadata'!$B$2,A65&lt;='Campaign Metadata'!$C$2),"iPhone 16 Launch", IF(AND(A65&gt;='Campaign Metadata'!$B$3,A65&lt;='Campaign Metadata'!$C$3), "MacBook Air M3 Campaign", IF(AND(A65&gt;='Campaign Metadata'!$B$4,A65&lt;='Campaign Metadata'!$C$4), "Apple Watch Ultra 2 Launch", IF(AND(A65&gt;='Campaign Metadata'!$B$5,A65&lt;='Campaign Metadata'!$C$5), "Sustainability Awareness Drive", IF(AND(A65&gt;='Campaign Metadata'!$B$6,A65&lt;='Campaign Metadata'!$C$6), "Apple Event September 2025", "No Campaign")))))</f>
        <v>No Campaign</v>
      </c>
    </row>
    <row r="66" spans="1:8" x14ac:dyDescent="0.3">
      <c r="A66" s="5">
        <v>45558</v>
      </c>
      <c r="B66" s="21" t="s">
        <v>29</v>
      </c>
      <c r="C66" s="22">
        <v>1419</v>
      </c>
      <c r="D66" s="22">
        <v>110</v>
      </c>
      <c r="E66" s="22">
        <v>455286</v>
      </c>
      <c r="F66">
        <v>31.554451487636339</v>
      </c>
      <c r="G66">
        <v>58831</v>
      </c>
      <c r="H66" t="str">
        <f>IF(AND(A66&gt;='Campaign Metadata'!$B$2,A66&lt;='Campaign Metadata'!$C$2),"iPhone 16 Launch", IF(AND(A66&gt;='Campaign Metadata'!$B$3,A66&lt;='Campaign Metadata'!$C$3), "MacBook Air M3 Campaign", IF(AND(A66&gt;='Campaign Metadata'!$B$4,A66&lt;='Campaign Metadata'!$C$4), "Apple Watch Ultra 2 Launch", IF(AND(A66&gt;='Campaign Metadata'!$B$5,A66&lt;='Campaign Metadata'!$C$5), "Sustainability Awareness Drive", IF(AND(A66&gt;='Campaign Metadata'!$B$6,A66&lt;='Campaign Metadata'!$C$6), "Apple Event September 2025", "No Campaign")))))</f>
        <v>No Campaign</v>
      </c>
    </row>
    <row r="67" spans="1:8" x14ac:dyDescent="0.3">
      <c r="A67" s="5">
        <v>45558</v>
      </c>
      <c r="B67" s="21" t="s">
        <v>31</v>
      </c>
      <c r="C67" s="22">
        <v>5517</v>
      </c>
      <c r="D67" s="22">
        <v>575</v>
      </c>
      <c r="E67" s="22">
        <v>460228</v>
      </c>
      <c r="F67">
        <v>29.45844233727631</v>
      </c>
      <c r="G67">
        <v>20258</v>
      </c>
      <c r="H67" t="str">
        <f>IF(AND(A67&gt;='Campaign Metadata'!$B$2,A67&lt;='Campaign Metadata'!$C$2),"iPhone 16 Launch", IF(AND(A67&gt;='Campaign Metadata'!$B$3,A67&lt;='Campaign Metadata'!$C$3), "MacBook Air M3 Campaign", IF(AND(A67&gt;='Campaign Metadata'!$B$4,A67&lt;='Campaign Metadata'!$C$4), "Apple Watch Ultra 2 Launch", IF(AND(A67&gt;='Campaign Metadata'!$B$5,A67&lt;='Campaign Metadata'!$C$5), "Sustainability Awareness Drive", IF(AND(A67&gt;='Campaign Metadata'!$B$6,A67&lt;='Campaign Metadata'!$C$6), "Apple Event September 2025", "No Campaign")))))</f>
        <v>No Campaign</v>
      </c>
    </row>
    <row r="68" spans="1:8" x14ac:dyDescent="0.3">
      <c r="A68" s="5">
        <v>45558</v>
      </c>
      <c r="B68" s="21" t="s">
        <v>29</v>
      </c>
      <c r="C68" s="22">
        <v>4302</v>
      </c>
      <c r="D68" s="22">
        <v>275</v>
      </c>
      <c r="E68" s="22">
        <v>464255</v>
      </c>
      <c r="F68">
        <v>15.72131694865968</v>
      </c>
      <c r="G68">
        <v>26044</v>
      </c>
      <c r="H68" t="str">
        <f>IF(AND(A68&gt;='Campaign Metadata'!$B$2,A68&lt;='Campaign Metadata'!$C$2),"iPhone 16 Launch", IF(AND(A68&gt;='Campaign Metadata'!$B$3,A68&lt;='Campaign Metadata'!$C$3), "MacBook Air M3 Campaign", IF(AND(A68&gt;='Campaign Metadata'!$B$4,A68&lt;='Campaign Metadata'!$C$4), "Apple Watch Ultra 2 Launch", IF(AND(A68&gt;='Campaign Metadata'!$B$5,A68&lt;='Campaign Metadata'!$C$5), "Sustainability Awareness Drive", IF(AND(A68&gt;='Campaign Metadata'!$B$6,A68&lt;='Campaign Metadata'!$C$6), "Apple Event September 2025", "No Campaign")))))</f>
        <v>No Campaign</v>
      </c>
    </row>
    <row r="69" spans="1:8" x14ac:dyDescent="0.3">
      <c r="A69" s="5">
        <v>45558</v>
      </c>
      <c r="B69" s="21" t="s">
        <v>29</v>
      </c>
      <c r="C69" s="22">
        <v>8857</v>
      </c>
      <c r="D69" s="22">
        <v>1153</v>
      </c>
      <c r="E69" s="22">
        <v>471959</v>
      </c>
      <c r="F69">
        <v>19.214592793018038</v>
      </c>
      <c r="G69">
        <v>39411</v>
      </c>
      <c r="H69" t="str">
        <f>IF(AND(A69&gt;='Campaign Metadata'!$B$2,A69&lt;='Campaign Metadata'!$C$2),"iPhone 16 Launch", IF(AND(A69&gt;='Campaign Metadata'!$B$3,A69&lt;='Campaign Metadata'!$C$3), "MacBook Air M3 Campaign", IF(AND(A69&gt;='Campaign Metadata'!$B$4,A69&lt;='Campaign Metadata'!$C$4), "Apple Watch Ultra 2 Launch", IF(AND(A69&gt;='Campaign Metadata'!$B$5,A69&lt;='Campaign Metadata'!$C$5), "Sustainability Awareness Drive", IF(AND(A69&gt;='Campaign Metadata'!$B$6,A69&lt;='Campaign Metadata'!$C$6), "Apple Event September 2025", "No Campaign")))))</f>
        <v>No Campaign</v>
      </c>
    </row>
    <row r="70" spans="1:8" x14ac:dyDescent="0.3">
      <c r="A70" s="5">
        <v>45565</v>
      </c>
      <c r="B70" s="21" t="s">
        <v>29</v>
      </c>
      <c r="C70" s="22">
        <v>8870</v>
      </c>
      <c r="D70" s="22">
        <v>509</v>
      </c>
      <c r="E70" s="22">
        <v>480320</v>
      </c>
      <c r="F70">
        <v>25.077864756828781</v>
      </c>
      <c r="G70">
        <v>15469</v>
      </c>
      <c r="H70" t="str">
        <f>IF(AND(A70&gt;='Campaign Metadata'!$B$2,A70&lt;='Campaign Metadata'!$C$2),"iPhone 16 Launch", IF(AND(A70&gt;='Campaign Metadata'!$B$3,A70&lt;='Campaign Metadata'!$C$3), "MacBook Air M3 Campaign", IF(AND(A70&gt;='Campaign Metadata'!$B$4,A70&lt;='Campaign Metadata'!$C$4), "Apple Watch Ultra 2 Launch", IF(AND(A70&gt;='Campaign Metadata'!$B$5,A70&lt;='Campaign Metadata'!$C$5), "Sustainability Awareness Drive", IF(AND(A70&gt;='Campaign Metadata'!$B$6,A70&lt;='Campaign Metadata'!$C$6), "Apple Event September 2025", "No Campaign")))))</f>
        <v>No Campaign</v>
      </c>
    </row>
    <row r="71" spans="1:8" x14ac:dyDescent="0.3">
      <c r="A71" s="5">
        <v>45565</v>
      </c>
      <c r="B71" s="21" t="s">
        <v>31</v>
      </c>
      <c r="C71" s="22">
        <v>6693</v>
      </c>
      <c r="D71" s="22">
        <v>995</v>
      </c>
      <c r="E71" s="22">
        <v>486018</v>
      </c>
      <c r="F71">
        <v>23.761877132122681</v>
      </c>
      <c r="G71">
        <v>38854</v>
      </c>
      <c r="H71" t="str">
        <f>IF(AND(A71&gt;='Campaign Metadata'!$B$2,A71&lt;='Campaign Metadata'!$C$2),"iPhone 16 Launch", IF(AND(A71&gt;='Campaign Metadata'!$B$3,A71&lt;='Campaign Metadata'!$C$3), "MacBook Air M3 Campaign", IF(AND(A71&gt;='Campaign Metadata'!$B$4,A71&lt;='Campaign Metadata'!$C$4), "Apple Watch Ultra 2 Launch", IF(AND(A71&gt;='Campaign Metadata'!$B$5,A71&lt;='Campaign Metadata'!$C$5), "Sustainability Awareness Drive", IF(AND(A71&gt;='Campaign Metadata'!$B$6,A71&lt;='Campaign Metadata'!$C$6), "Apple Event September 2025", "No Campaign")))))</f>
        <v>No Campaign</v>
      </c>
    </row>
    <row r="72" spans="1:8" x14ac:dyDescent="0.3">
      <c r="A72" s="5">
        <v>45565</v>
      </c>
      <c r="B72" s="21" t="s">
        <v>29</v>
      </c>
      <c r="C72" s="22">
        <v>1767</v>
      </c>
      <c r="D72" s="22">
        <v>224</v>
      </c>
      <c r="E72" s="22">
        <v>487561</v>
      </c>
      <c r="F72">
        <v>13.208603641390511</v>
      </c>
      <c r="G72">
        <v>16256</v>
      </c>
      <c r="H72" t="str">
        <f>IF(AND(A72&gt;='Campaign Metadata'!$B$2,A72&lt;='Campaign Metadata'!$C$2),"iPhone 16 Launch", IF(AND(A72&gt;='Campaign Metadata'!$B$3,A72&lt;='Campaign Metadata'!$C$3), "MacBook Air M3 Campaign", IF(AND(A72&gt;='Campaign Metadata'!$B$4,A72&lt;='Campaign Metadata'!$C$4), "Apple Watch Ultra 2 Launch", IF(AND(A72&gt;='Campaign Metadata'!$B$5,A72&lt;='Campaign Metadata'!$C$5), "Sustainability Awareness Drive", IF(AND(A72&gt;='Campaign Metadata'!$B$6,A72&lt;='Campaign Metadata'!$C$6), "Apple Event September 2025", "No Campaign")))))</f>
        <v>No Campaign</v>
      </c>
    </row>
    <row r="73" spans="1:8" x14ac:dyDescent="0.3">
      <c r="A73" s="5">
        <v>45565</v>
      </c>
      <c r="B73" s="21" t="s">
        <v>31</v>
      </c>
      <c r="C73" s="22">
        <v>3044</v>
      </c>
      <c r="D73" s="22">
        <v>212</v>
      </c>
      <c r="E73" s="22">
        <v>490393</v>
      </c>
      <c r="F73">
        <v>8.5343795690395261</v>
      </c>
      <c r="G73">
        <v>20720</v>
      </c>
      <c r="H73" t="str">
        <f>IF(AND(A73&gt;='Campaign Metadata'!$B$2,A73&lt;='Campaign Metadata'!$C$2),"iPhone 16 Launch", IF(AND(A73&gt;='Campaign Metadata'!$B$3,A73&lt;='Campaign Metadata'!$C$3), "MacBook Air M3 Campaign", IF(AND(A73&gt;='Campaign Metadata'!$B$4,A73&lt;='Campaign Metadata'!$C$4), "Apple Watch Ultra 2 Launch", IF(AND(A73&gt;='Campaign Metadata'!$B$5,A73&lt;='Campaign Metadata'!$C$5), "Sustainability Awareness Drive", IF(AND(A73&gt;='Campaign Metadata'!$B$6,A73&lt;='Campaign Metadata'!$C$6), "Apple Event September 2025", "No Campaign")))))</f>
        <v>No Campaign</v>
      </c>
    </row>
    <row r="74" spans="1:8" x14ac:dyDescent="0.3">
      <c r="A74" s="5">
        <v>45572</v>
      </c>
      <c r="B74" s="21" t="s">
        <v>30</v>
      </c>
      <c r="C74" s="22">
        <v>2549</v>
      </c>
      <c r="D74" s="22">
        <v>128</v>
      </c>
      <c r="E74" s="22">
        <v>492814</v>
      </c>
      <c r="F74">
        <v>12.734216154573531</v>
      </c>
      <c r="G74">
        <v>43937</v>
      </c>
      <c r="H74" t="str">
        <f>IF(AND(A74&gt;='Campaign Metadata'!$B$2,A74&lt;='Campaign Metadata'!$C$2),"iPhone 16 Launch", IF(AND(A74&gt;='Campaign Metadata'!$B$3,A74&lt;='Campaign Metadata'!$C$3), "MacBook Air M3 Campaign", IF(AND(A74&gt;='Campaign Metadata'!$B$4,A74&lt;='Campaign Metadata'!$C$4), "Apple Watch Ultra 2 Launch", IF(AND(A74&gt;='Campaign Metadata'!$B$5,A74&lt;='Campaign Metadata'!$C$5), "Sustainability Awareness Drive", IF(AND(A74&gt;='Campaign Metadata'!$B$6,A74&lt;='Campaign Metadata'!$C$6), "Apple Event September 2025", "No Campaign")))))</f>
        <v>MacBook Air M3 Campaign</v>
      </c>
    </row>
    <row r="75" spans="1:8" x14ac:dyDescent="0.3">
      <c r="A75" s="5">
        <v>45572</v>
      </c>
      <c r="B75" s="21" t="s">
        <v>32</v>
      </c>
      <c r="C75" s="22">
        <v>7140</v>
      </c>
      <c r="D75" s="22">
        <v>939</v>
      </c>
      <c r="E75" s="22">
        <v>499015</v>
      </c>
      <c r="F75">
        <v>25.120888149654821</v>
      </c>
      <c r="G75">
        <v>43598</v>
      </c>
      <c r="H75" t="str">
        <f>IF(AND(A75&gt;='Campaign Metadata'!$B$2,A75&lt;='Campaign Metadata'!$C$2),"iPhone 16 Launch", IF(AND(A75&gt;='Campaign Metadata'!$B$3,A75&lt;='Campaign Metadata'!$C$3), "MacBook Air M3 Campaign", IF(AND(A75&gt;='Campaign Metadata'!$B$4,A75&lt;='Campaign Metadata'!$C$4), "Apple Watch Ultra 2 Launch", IF(AND(A75&gt;='Campaign Metadata'!$B$5,A75&lt;='Campaign Metadata'!$C$5), "Sustainability Awareness Drive", IF(AND(A75&gt;='Campaign Metadata'!$B$6,A75&lt;='Campaign Metadata'!$C$6), "Apple Event September 2025", "No Campaign")))))</f>
        <v>MacBook Air M3 Campaign</v>
      </c>
    </row>
    <row r="76" spans="1:8" x14ac:dyDescent="0.3">
      <c r="A76" s="5">
        <v>45572</v>
      </c>
      <c r="B76" s="21" t="s">
        <v>32</v>
      </c>
      <c r="C76" s="22">
        <v>4716</v>
      </c>
      <c r="D76" s="22">
        <v>569</v>
      </c>
      <c r="E76" s="22">
        <v>503162</v>
      </c>
      <c r="F76">
        <v>25.64820077827817</v>
      </c>
      <c r="G76">
        <v>11651</v>
      </c>
      <c r="H76" t="str">
        <f>IF(AND(A76&gt;='Campaign Metadata'!$B$2,A76&lt;='Campaign Metadata'!$C$2),"iPhone 16 Launch", IF(AND(A76&gt;='Campaign Metadata'!$B$3,A76&lt;='Campaign Metadata'!$C$3), "MacBook Air M3 Campaign", IF(AND(A76&gt;='Campaign Metadata'!$B$4,A76&lt;='Campaign Metadata'!$C$4), "Apple Watch Ultra 2 Launch", IF(AND(A76&gt;='Campaign Metadata'!$B$5,A76&lt;='Campaign Metadata'!$C$5), "Sustainability Awareness Drive", IF(AND(A76&gt;='Campaign Metadata'!$B$6,A76&lt;='Campaign Metadata'!$C$6), "Apple Event September 2025", "No Campaign")))))</f>
        <v>MacBook Air M3 Campaign</v>
      </c>
    </row>
    <row r="77" spans="1:8" x14ac:dyDescent="0.3">
      <c r="A77" s="5">
        <v>45572</v>
      </c>
      <c r="B77" s="21" t="s">
        <v>29</v>
      </c>
      <c r="C77" s="22">
        <v>5481</v>
      </c>
      <c r="D77" s="22">
        <v>673</v>
      </c>
      <c r="E77" s="22">
        <v>507970</v>
      </c>
      <c r="F77">
        <v>13.08758391243577</v>
      </c>
      <c r="G77">
        <v>29194</v>
      </c>
      <c r="H77" t="str">
        <f>IF(AND(A77&gt;='Campaign Metadata'!$B$2,A77&lt;='Campaign Metadata'!$C$2),"iPhone 16 Launch", IF(AND(A77&gt;='Campaign Metadata'!$B$3,A77&lt;='Campaign Metadata'!$C$3), "MacBook Air M3 Campaign", IF(AND(A77&gt;='Campaign Metadata'!$B$4,A77&lt;='Campaign Metadata'!$C$4), "Apple Watch Ultra 2 Launch", IF(AND(A77&gt;='Campaign Metadata'!$B$5,A77&lt;='Campaign Metadata'!$C$5), "Sustainability Awareness Drive", IF(AND(A77&gt;='Campaign Metadata'!$B$6,A77&lt;='Campaign Metadata'!$C$6), "Apple Event September 2025", "No Campaign")))))</f>
        <v>MacBook Air M3 Campaign</v>
      </c>
    </row>
    <row r="78" spans="1:8" x14ac:dyDescent="0.3">
      <c r="A78" s="5">
        <v>45579</v>
      </c>
      <c r="B78" s="21" t="s">
        <v>31</v>
      </c>
      <c r="C78" s="22">
        <v>8898</v>
      </c>
      <c r="D78" s="22">
        <v>1131</v>
      </c>
      <c r="E78" s="22">
        <v>515737</v>
      </c>
      <c r="F78">
        <v>2.1877429775253669</v>
      </c>
      <c r="G78">
        <v>35051</v>
      </c>
      <c r="H78" t="str">
        <f>IF(AND(A78&gt;='Campaign Metadata'!$B$2,A78&lt;='Campaign Metadata'!$C$2),"iPhone 16 Launch", IF(AND(A78&gt;='Campaign Metadata'!$B$3,A78&lt;='Campaign Metadata'!$C$3), "MacBook Air M3 Campaign", IF(AND(A78&gt;='Campaign Metadata'!$B$4,A78&lt;='Campaign Metadata'!$C$4), "Apple Watch Ultra 2 Launch", IF(AND(A78&gt;='Campaign Metadata'!$B$5,A78&lt;='Campaign Metadata'!$C$5), "Sustainability Awareness Drive", IF(AND(A78&gt;='Campaign Metadata'!$B$6,A78&lt;='Campaign Metadata'!$C$6), "Apple Event September 2025", "No Campaign")))))</f>
        <v>MacBook Air M3 Campaign</v>
      </c>
    </row>
    <row r="79" spans="1:8" x14ac:dyDescent="0.3">
      <c r="A79" s="5">
        <v>45579</v>
      </c>
      <c r="B79" s="21" t="s">
        <v>32</v>
      </c>
      <c r="C79" s="22">
        <v>7548</v>
      </c>
      <c r="D79" s="22">
        <v>433</v>
      </c>
      <c r="E79" s="22">
        <v>522852</v>
      </c>
      <c r="F79">
        <v>8.3562843787534522</v>
      </c>
      <c r="G79">
        <v>37386</v>
      </c>
      <c r="H79" t="str">
        <f>IF(AND(A79&gt;='Campaign Metadata'!$B$2,A79&lt;='Campaign Metadata'!$C$2),"iPhone 16 Launch", IF(AND(A79&gt;='Campaign Metadata'!$B$3,A79&lt;='Campaign Metadata'!$C$3), "MacBook Air M3 Campaign", IF(AND(A79&gt;='Campaign Metadata'!$B$4,A79&lt;='Campaign Metadata'!$C$4), "Apple Watch Ultra 2 Launch", IF(AND(A79&gt;='Campaign Metadata'!$B$5,A79&lt;='Campaign Metadata'!$C$5), "Sustainability Awareness Drive", IF(AND(A79&gt;='Campaign Metadata'!$B$6,A79&lt;='Campaign Metadata'!$C$6), "Apple Event September 2025", "No Campaign")))))</f>
        <v>MacBook Air M3 Campaign</v>
      </c>
    </row>
    <row r="80" spans="1:8" x14ac:dyDescent="0.3">
      <c r="A80" s="5">
        <v>45579</v>
      </c>
      <c r="B80" s="21" t="s">
        <v>31</v>
      </c>
      <c r="C80" s="22">
        <v>3293</v>
      </c>
      <c r="D80" s="22">
        <v>282</v>
      </c>
      <c r="E80" s="22">
        <v>525863</v>
      </c>
      <c r="F80">
        <v>27.040693108281051</v>
      </c>
      <c r="G80">
        <v>19518</v>
      </c>
      <c r="H80" t="str">
        <f>IF(AND(A80&gt;='Campaign Metadata'!$B$2,A80&lt;='Campaign Metadata'!$C$2),"iPhone 16 Launch", IF(AND(A80&gt;='Campaign Metadata'!$B$3,A80&lt;='Campaign Metadata'!$C$3), "MacBook Air M3 Campaign", IF(AND(A80&gt;='Campaign Metadata'!$B$4,A80&lt;='Campaign Metadata'!$C$4), "Apple Watch Ultra 2 Launch", IF(AND(A80&gt;='Campaign Metadata'!$B$5,A80&lt;='Campaign Metadata'!$C$5), "Sustainability Awareness Drive", IF(AND(A80&gt;='Campaign Metadata'!$B$6,A80&lt;='Campaign Metadata'!$C$6), "Apple Event September 2025", "No Campaign")))))</f>
        <v>MacBook Air M3 Campaign</v>
      </c>
    </row>
    <row r="81" spans="1:8" x14ac:dyDescent="0.3">
      <c r="A81" s="5">
        <v>45579</v>
      </c>
      <c r="B81" s="21" t="s">
        <v>31</v>
      </c>
      <c r="C81" s="22">
        <v>5837</v>
      </c>
      <c r="D81" s="22">
        <v>359</v>
      </c>
      <c r="E81" s="22">
        <v>531341</v>
      </c>
      <c r="F81">
        <v>6.8073045370110723</v>
      </c>
      <c r="G81">
        <v>56026</v>
      </c>
      <c r="H81" t="str">
        <f>IF(AND(A81&gt;='Campaign Metadata'!$B$2,A81&lt;='Campaign Metadata'!$C$2),"iPhone 16 Launch", IF(AND(A81&gt;='Campaign Metadata'!$B$3,A81&lt;='Campaign Metadata'!$C$3), "MacBook Air M3 Campaign", IF(AND(A81&gt;='Campaign Metadata'!$B$4,A81&lt;='Campaign Metadata'!$C$4), "Apple Watch Ultra 2 Launch", IF(AND(A81&gt;='Campaign Metadata'!$B$5,A81&lt;='Campaign Metadata'!$C$5), "Sustainability Awareness Drive", IF(AND(A81&gt;='Campaign Metadata'!$B$6,A81&lt;='Campaign Metadata'!$C$6), "Apple Event September 2025", "No Campaign")))))</f>
        <v>MacBook Air M3 Campaign</v>
      </c>
    </row>
    <row r="82" spans="1:8" x14ac:dyDescent="0.3">
      <c r="A82" s="5">
        <v>45586</v>
      </c>
      <c r="B82" s="21" t="s">
        <v>29</v>
      </c>
      <c r="C82" s="22">
        <v>8758</v>
      </c>
      <c r="D82" s="22">
        <v>1193</v>
      </c>
      <c r="E82" s="22">
        <v>538906</v>
      </c>
      <c r="F82">
        <v>3.4213758985797149</v>
      </c>
      <c r="G82">
        <v>26184</v>
      </c>
      <c r="H82" t="str">
        <f>IF(AND(A82&gt;='Campaign Metadata'!$B$2,A82&lt;='Campaign Metadata'!$C$2),"iPhone 16 Launch", IF(AND(A82&gt;='Campaign Metadata'!$B$3,A82&lt;='Campaign Metadata'!$C$3), "MacBook Air M3 Campaign", IF(AND(A82&gt;='Campaign Metadata'!$B$4,A82&lt;='Campaign Metadata'!$C$4), "Apple Watch Ultra 2 Launch", IF(AND(A82&gt;='Campaign Metadata'!$B$5,A82&lt;='Campaign Metadata'!$C$5), "Sustainability Awareness Drive", IF(AND(A82&gt;='Campaign Metadata'!$B$6,A82&lt;='Campaign Metadata'!$C$6), "Apple Event September 2025", "No Campaign")))))</f>
        <v>MacBook Air M3 Campaign</v>
      </c>
    </row>
    <row r="83" spans="1:8" x14ac:dyDescent="0.3">
      <c r="A83" s="5">
        <v>45586</v>
      </c>
      <c r="B83" s="21" t="s">
        <v>32</v>
      </c>
      <c r="C83" s="22">
        <v>7793</v>
      </c>
      <c r="D83" s="22">
        <v>875</v>
      </c>
      <c r="E83" s="22">
        <v>545824</v>
      </c>
      <c r="F83">
        <v>5.5136820660139527</v>
      </c>
      <c r="G83">
        <v>43787</v>
      </c>
      <c r="H83" t="str">
        <f>IF(AND(A83&gt;='Campaign Metadata'!$B$2,A83&lt;='Campaign Metadata'!$C$2),"iPhone 16 Launch", IF(AND(A83&gt;='Campaign Metadata'!$B$3,A83&lt;='Campaign Metadata'!$C$3), "MacBook Air M3 Campaign", IF(AND(A83&gt;='Campaign Metadata'!$B$4,A83&lt;='Campaign Metadata'!$C$4), "Apple Watch Ultra 2 Launch", IF(AND(A83&gt;='Campaign Metadata'!$B$5,A83&lt;='Campaign Metadata'!$C$5), "Sustainability Awareness Drive", IF(AND(A83&gt;='Campaign Metadata'!$B$6,A83&lt;='Campaign Metadata'!$C$6), "Apple Event September 2025", "No Campaign")))))</f>
        <v>MacBook Air M3 Campaign</v>
      </c>
    </row>
    <row r="84" spans="1:8" x14ac:dyDescent="0.3">
      <c r="A84" s="5">
        <v>45586</v>
      </c>
      <c r="B84" s="21" t="s">
        <v>29</v>
      </c>
      <c r="C84" s="22">
        <v>8638</v>
      </c>
      <c r="D84" s="22">
        <v>717</v>
      </c>
      <c r="E84" s="22">
        <v>553745</v>
      </c>
      <c r="F84">
        <v>26.921416897669499</v>
      </c>
      <c r="G84">
        <v>31621</v>
      </c>
      <c r="H84" t="str">
        <f>IF(AND(A84&gt;='Campaign Metadata'!$B$2,A84&lt;='Campaign Metadata'!$C$2),"iPhone 16 Launch", IF(AND(A84&gt;='Campaign Metadata'!$B$3,A84&lt;='Campaign Metadata'!$C$3), "MacBook Air M3 Campaign", IF(AND(A84&gt;='Campaign Metadata'!$B$4,A84&lt;='Campaign Metadata'!$C$4), "Apple Watch Ultra 2 Launch", IF(AND(A84&gt;='Campaign Metadata'!$B$5,A84&lt;='Campaign Metadata'!$C$5), "Sustainability Awareness Drive", IF(AND(A84&gt;='Campaign Metadata'!$B$6,A84&lt;='Campaign Metadata'!$C$6), "Apple Event September 2025", "No Campaign")))))</f>
        <v>MacBook Air M3 Campaign</v>
      </c>
    </row>
    <row r="85" spans="1:8" x14ac:dyDescent="0.3">
      <c r="A85" s="5">
        <v>45586</v>
      </c>
      <c r="B85" s="21" t="s">
        <v>29</v>
      </c>
      <c r="C85" s="22">
        <v>8993</v>
      </c>
      <c r="D85" s="22">
        <v>506</v>
      </c>
      <c r="E85" s="22">
        <v>562232</v>
      </c>
      <c r="F85">
        <v>3.5131404829323132</v>
      </c>
      <c r="G85">
        <v>20028</v>
      </c>
      <c r="H85" t="str">
        <f>IF(AND(A85&gt;='Campaign Metadata'!$B$2,A85&lt;='Campaign Metadata'!$C$2),"iPhone 16 Launch", IF(AND(A85&gt;='Campaign Metadata'!$B$3,A85&lt;='Campaign Metadata'!$C$3), "MacBook Air M3 Campaign", IF(AND(A85&gt;='Campaign Metadata'!$B$4,A85&lt;='Campaign Metadata'!$C$4), "Apple Watch Ultra 2 Launch", IF(AND(A85&gt;='Campaign Metadata'!$B$5,A85&lt;='Campaign Metadata'!$C$5), "Sustainability Awareness Drive", IF(AND(A85&gt;='Campaign Metadata'!$B$6,A85&lt;='Campaign Metadata'!$C$6), "Apple Event September 2025", "No Campaign")))))</f>
        <v>MacBook Air M3 Campaign</v>
      </c>
    </row>
    <row r="86" spans="1:8" x14ac:dyDescent="0.3">
      <c r="A86" s="5">
        <v>45593</v>
      </c>
      <c r="B86" s="21" t="s">
        <v>32</v>
      </c>
      <c r="C86" s="22">
        <v>7007</v>
      </c>
      <c r="D86" s="22">
        <v>568</v>
      </c>
      <c r="E86" s="22">
        <v>568671</v>
      </c>
      <c r="F86">
        <v>11.50507059442103</v>
      </c>
      <c r="G86">
        <v>22448</v>
      </c>
      <c r="H86" t="str">
        <f>IF(AND(A86&gt;='Campaign Metadata'!$B$2,A86&lt;='Campaign Metadata'!$C$2),"iPhone 16 Launch", IF(AND(A86&gt;='Campaign Metadata'!$B$3,A86&lt;='Campaign Metadata'!$C$3), "MacBook Air M3 Campaign", IF(AND(A86&gt;='Campaign Metadata'!$B$4,A86&lt;='Campaign Metadata'!$C$4), "Apple Watch Ultra 2 Launch", IF(AND(A86&gt;='Campaign Metadata'!$B$5,A86&lt;='Campaign Metadata'!$C$5), "Sustainability Awareness Drive", IF(AND(A86&gt;='Campaign Metadata'!$B$6,A86&lt;='Campaign Metadata'!$C$6), "Apple Event September 2025", "No Campaign")))))</f>
        <v>MacBook Air M3 Campaign</v>
      </c>
    </row>
    <row r="87" spans="1:8" x14ac:dyDescent="0.3">
      <c r="A87" s="5">
        <v>45593</v>
      </c>
      <c r="B87" s="21" t="s">
        <v>32</v>
      </c>
      <c r="C87" s="22">
        <v>6542</v>
      </c>
      <c r="D87" s="22">
        <v>539</v>
      </c>
      <c r="E87" s="22">
        <v>574674</v>
      </c>
      <c r="F87">
        <v>6.4069368024305948</v>
      </c>
      <c r="G87">
        <v>55253</v>
      </c>
      <c r="H87" t="str">
        <f>IF(AND(A87&gt;='Campaign Metadata'!$B$2,A87&lt;='Campaign Metadata'!$C$2),"iPhone 16 Launch", IF(AND(A87&gt;='Campaign Metadata'!$B$3,A87&lt;='Campaign Metadata'!$C$3), "MacBook Air M3 Campaign", IF(AND(A87&gt;='Campaign Metadata'!$B$4,A87&lt;='Campaign Metadata'!$C$4), "Apple Watch Ultra 2 Launch", IF(AND(A87&gt;='Campaign Metadata'!$B$5,A87&lt;='Campaign Metadata'!$C$5), "Sustainability Awareness Drive", IF(AND(A87&gt;='Campaign Metadata'!$B$6,A87&lt;='Campaign Metadata'!$C$6), "Apple Event September 2025", "No Campaign")))))</f>
        <v>MacBook Air M3 Campaign</v>
      </c>
    </row>
    <row r="88" spans="1:8" x14ac:dyDescent="0.3">
      <c r="A88" s="5">
        <v>45593</v>
      </c>
      <c r="B88" s="21" t="s">
        <v>30</v>
      </c>
      <c r="C88" s="22">
        <v>7356</v>
      </c>
      <c r="D88" s="22">
        <v>904</v>
      </c>
      <c r="E88" s="22">
        <v>581126</v>
      </c>
      <c r="F88">
        <v>17.560907617280929</v>
      </c>
      <c r="G88">
        <v>44051</v>
      </c>
      <c r="H88" t="str">
        <f>IF(AND(A88&gt;='Campaign Metadata'!$B$2,A88&lt;='Campaign Metadata'!$C$2),"iPhone 16 Launch", IF(AND(A88&gt;='Campaign Metadata'!$B$3,A88&lt;='Campaign Metadata'!$C$3), "MacBook Air M3 Campaign", IF(AND(A88&gt;='Campaign Metadata'!$B$4,A88&lt;='Campaign Metadata'!$C$4), "Apple Watch Ultra 2 Launch", IF(AND(A88&gt;='Campaign Metadata'!$B$5,A88&lt;='Campaign Metadata'!$C$5), "Sustainability Awareness Drive", IF(AND(A88&gt;='Campaign Metadata'!$B$6,A88&lt;='Campaign Metadata'!$C$6), "Apple Event September 2025", "No Campaign")))))</f>
        <v>MacBook Air M3 Campaign</v>
      </c>
    </row>
    <row r="89" spans="1:8" x14ac:dyDescent="0.3">
      <c r="A89" s="5">
        <v>45593</v>
      </c>
      <c r="B89" s="21" t="s">
        <v>30</v>
      </c>
      <c r="C89" s="22">
        <v>9433</v>
      </c>
      <c r="D89" s="22">
        <v>1073</v>
      </c>
      <c r="E89" s="22">
        <v>589486</v>
      </c>
      <c r="F89">
        <v>7.2934726185185053</v>
      </c>
      <c r="G89">
        <v>59811</v>
      </c>
      <c r="H89" t="str">
        <f>IF(AND(A89&gt;='Campaign Metadata'!$B$2,A89&lt;='Campaign Metadata'!$C$2),"iPhone 16 Launch", IF(AND(A89&gt;='Campaign Metadata'!$B$3,A89&lt;='Campaign Metadata'!$C$3), "MacBook Air M3 Campaign", IF(AND(A89&gt;='Campaign Metadata'!$B$4,A89&lt;='Campaign Metadata'!$C$4), "Apple Watch Ultra 2 Launch", IF(AND(A89&gt;='Campaign Metadata'!$B$5,A89&lt;='Campaign Metadata'!$C$5), "Sustainability Awareness Drive", IF(AND(A89&gt;='Campaign Metadata'!$B$6,A89&lt;='Campaign Metadata'!$C$6), "Apple Event September 2025", "No Campaign")))))</f>
        <v>MacBook Air M3 Campaign</v>
      </c>
    </row>
    <row r="90" spans="1:8" x14ac:dyDescent="0.3">
      <c r="A90" s="5">
        <v>45600</v>
      </c>
      <c r="B90" s="21" t="s">
        <v>31</v>
      </c>
      <c r="C90" s="22">
        <v>8380</v>
      </c>
      <c r="D90" s="22">
        <v>1162</v>
      </c>
      <c r="E90" s="22">
        <v>596704</v>
      </c>
      <c r="F90">
        <v>18.05853488496809</v>
      </c>
      <c r="G90">
        <v>40447</v>
      </c>
      <c r="H90" t="str">
        <f>IF(AND(A90&gt;='Campaign Metadata'!$B$2,A90&lt;='Campaign Metadata'!$C$2),"iPhone 16 Launch", IF(AND(A90&gt;='Campaign Metadata'!$B$3,A90&lt;='Campaign Metadata'!$C$3), "MacBook Air M3 Campaign", IF(AND(A90&gt;='Campaign Metadata'!$B$4,A90&lt;='Campaign Metadata'!$C$4), "Apple Watch Ultra 2 Launch", IF(AND(A90&gt;='Campaign Metadata'!$B$5,A90&lt;='Campaign Metadata'!$C$5), "Sustainability Awareness Drive", IF(AND(A90&gt;='Campaign Metadata'!$B$6,A90&lt;='Campaign Metadata'!$C$6), "Apple Event September 2025", "No Campaign")))))</f>
        <v>No Campaign</v>
      </c>
    </row>
    <row r="91" spans="1:8" x14ac:dyDescent="0.3">
      <c r="A91" s="5">
        <v>45600</v>
      </c>
      <c r="B91" s="21" t="s">
        <v>32</v>
      </c>
      <c r="C91" s="22">
        <v>3385</v>
      </c>
      <c r="D91" s="22">
        <v>329</v>
      </c>
      <c r="E91" s="22">
        <v>599760</v>
      </c>
      <c r="F91">
        <v>17.61788048552755</v>
      </c>
      <c r="G91">
        <v>28394</v>
      </c>
      <c r="H91" t="str">
        <f>IF(AND(A91&gt;='Campaign Metadata'!$B$2,A91&lt;='Campaign Metadata'!$C$2),"iPhone 16 Launch", IF(AND(A91&gt;='Campaign Metadata'!$B$3,A91&lt;='Campaign Metadata'!$C$3), "MacBook Air M3 Campaign", IF(AND(A91&gt;='Campaign Metadata'!$B$4,A91&lt;='Campaign Metadata'!$C$4), "Apple Watch Ultra 2 Launch", IF(AND(A91&gt;='Campaign Metadata'!$B$5,A91&lt;='Campaign Metadata'!$C$5), "Sustainability Awareness Drive", IF(AND(A91&gt;='Campaign Metadata'!$B$6,A91&lt;='Campaign Metadata'!$C$6), "Apple Event September 2025", "No Campaign")))))</f>
        <v>No Campaign</v>
      </c>
    </row>
    <row r="92" spans="1:8" x14ac:dyDescent="0.3">
      <c r="A92" s="5">
        <v>45600</v>
      </c>
      <c r="B92" s="21" t="s">
        <v>30</v>
      </c>
      <c r="C92" s="22">
        <v>5268</v>
      </c>
      <c r="D92" s="22">
        <v>326</v>
      </c>
      <c r="E92" s="22">
        <v>604702</v>
      </c>
      <c r="F92">
        <v>23.435841125050029</v>
      </c>
      <c r="G92">
        <v>44501</v>
      </c>
      <c r="H92" t="str">
        <f>IF(AND(A92&gt;='Campaign Metadata'!$B$2,A92&lt;='Campaign Metadata'!$C$2),"iPhone 16 Launch", IF(AND(A92&gt;='Campaign Metadata'!$B$3,A92&lt;='Campaign Metadata'!$C$3), "MacBook Air M3 Campaign", IF(AND(A92&gt;='Campaign Metadata'!$B$4,A92&lt;='Campaign Metadata'!$C$4), "Apple Watch Ultra 2 Launch", IF(AND(A92&gt;='Campaign Metadata'!$B$5,A92&lt;='Campaign Metadata'!$C$5), "Sustainability Awareness Drive", IF(AND(A92&gt;='Campaign Metadata'!$B$6,A92&lt;='Campaign Metadata'!$C$6), "Apple Event September 2025", "No Campaign")))))</f>
        <v>No Campaign</v>
      </c>
    </row>
    <row r="93" spans="1:8" x14ac:dyDescent="0.3">
      <c r="A93" s="5">
        <v>45600</v>
      </c>
      <c r="B93" s="21" t="s">
        <v>31</v>
      </c>
      <c r="C93" s="22">
        <v>1671</v>
      </c>
      <c r="D93" s="22">
        <v>202</v>
      </c>
      <c r="E93" s="22">
        <v>606171</v>
      </c>
      <c r="F93">
        <v>15.150015424690389</v>
      </c>
      <c r="G93">
        <v>40254</v>
      </c>
      <c r="H93" t="str">
        <f>IF(AND(A93&gt;='Campaign Metadata'!$B$2,A93&lt;='Campaign Metadata'!$C$2),"iPhone 16 Launch", IF(AND(A93&gt;='Campaign Metadata'!$B$3,A93&lt;='Campaign Metadata'!$C$3), "MacBook Air M3 Campaign", IF(AND(A93&gt;='Campaign Metadata'!$B$4,A93&lt;='Campaign Metadata'!$C$4), "Apple Watch Ultra 2 Launch", IF(AND(A93&gt;='Campaign Metadata'!$B$5,A93&lt;='Campaign Metadata'!$C$5), "Sustainability Awareness Drive", IF(AND(A93&gt;='Campaign Metadata'!$B$6,A93&lt;='Campaign Metadata'!$C$6), "Apple Event September 2025", "No Campaign")))))</f>
        <v>No Campaign</v>
      </c>
    </row>
    <row r="94" spans="1:8" x14ac:dyDescent="0.3">
      <c r="A94" s="5">
        <v>45607</v>
      </c>
      <c r="B94" s="21" t="s">
        <v>31</v>
      </c>
      <c r="C94" s="22">
        <v>1163</v>
      </c>
      <c r="D94" s="22">
        <v>146</v>
      </c>
      <c r="E94" s="22">
        <v>607188</v>
      </c>
      <c r="F94">
        <v>21.77776899411715</v>
      </c>
      <c r="G94">
        <v>28509</v>
      </c>
      <c r="H94" t="str">
        <f>IF(AND(A94&gt;='Campaign Metadata'!$B$2,A94&lt;='Campaign Metadata'!$C$2),"iPhone 16 Launch", IF(AND(A94&gt;='Campaign Metadata'!$B$3,A94&lt;='Campaign Metadata'!$C$3), "MacBook Air M3 Campaign", IF(AND(A94&gt;='Campaign Metadata'!$B$4,A94&lt;='Campaign Metadata'!$C$4), "Apple Watch Ultra 2 Launch", IF(AND(A94&gt;='Campaign Metadata'!$B$5,A94&lt;='Campaign Metadata'!$C$5), "Sustainability Awareness Drive", IF(AND(A94&gt;='Campaign Metadata'!$B$6,A94&lt;='Campaign Metadata'!$C$6), "Apple Event September 2025", "No Campaign")))))</f>
        <v>No Campaign</v>
      </c>
    </row>
    <row r="95" spans="1:8" x14ac:dyDescent="0.3">
      <c r="A95" s="5">
        <v>45607</v>
      </c>
      <c r="B95" s="21" t="s">
        <v>31</v>
      </c>
      <c r="C95" s="22">
        <v>9656</v>
      </c>
      <c r="D95" s="22">
        <v>1024</v>
      </c>
      <c r="E95" s="22">
        <v>615820</v>
      </c>
      <c r="F95">
        <v>8.7252768666168681</v>
      </c>
      <c r="G95">
        <v>58998</v>
      </c>
      <c r="H95" t="str">
        <f>IF(AND(A95&gt;='Campaign Metadata'!$B$2,A95&lt;='Campaign Metadata'!$C$2),"iPhone 16 Launch", IF(AND(A95&gt;='Campaign Metadata'!$B$3,A95&lt;='Campaign Metadata'!$C$3), "MacBook Air M3 Campaign", IF(AND(A95&gt;='Campaign Metadata'!$B$4,A95&lt;='Campaign Metadata'!$C$4), "Apple Watch Ultra 2 Launch", IF(AND(A95&gt;='Campaign Metadata'!$B$5,A95&lt;='Campaign Metadata'!$C$5), "Sustainability Awareness Drive", IF(AND(A95&gt;='Campaign Metadata'!$B$6,A95&lt;='Campaign Metadata'!$C$6), "Apple Event September 2025", "No Campaign")))))</f>
        <v>No Campaign</v>
      </c>
    </row>
    <row r="96" spans="1:8" x14ac:dyDescent="0.3">
      <c r="A96" s="5">
        <v>45607</v>
      </c>
      <c r="B96" s="21" t="s">
        <v>30</v>
      </c>
      <c r="C96" s="22">
        <v>5592</v>
      </c>
      <c r="D96" s="22">
        <v>710</v>
      </c>
      <c r="E96" s="22">
        <v>620702</v>
      </c>
      <c r="F96">
        <v>9.07118069540617</v>
      </c>
      <c r="G96">
        <v>24472</v>
      </c>
      <c r="H96" t="str">
        <f>IF(AND(A96&gt;='Campaign Metadata'!$B$2,A96&lt;='Campaign Metadata'!$C$2),"iPhone 16 Launch", IF(AND(A96&gt;='Campaign Metadata'!$B$3,A96&lt;='Campaign Metadata'!$C$3), "MacBook Air M3 Campaign", IF(AND(A96&gt;='Campaign Metadata'!$B$4,A96&lt;='Campaign Metadata'!$C$4), "Apple Watch Ultra 2 Launch", IF(AND(A96&gt;='Campaign Metadata'!$B$5,A96&lt;='Campaign Metadata'!$C$5), "Sustainability Awareness Drive", IF(AND(A96&gt;='Campaign Metadata'!$B$6,A96&lt;='Campaign Metadata'!$C$6), "Apple Event September 2025", "No Campaign")))))</f>
        <v>No Campaign</v>
      </c>
    </row>
    <row r="97" spans="1:8" x14ac:dyDescent="0.3">
      <c r="A97" s="5">
        <v>45607</v>
      </c>
      <c r="B97" s="21" t="s">
        <v>32</v>
      </c>
      <c r="C97" s="22">
        <v>5795</v>
      </c>
      <c r="D97" s="22">
        <v>575</v>
      </c>
      <c r="E97" s="22">
        <v>625922</v>
      </c>
      <c r="F97">
        <v>3.0908004511744269</v>
      </c>
      <c r="G97">
        <v>55657</v>
      </c>
      <c r="H97" t="str">
        <f>IF(AND(A97&gt;='Campaign Metadata'!$B$2,A97&lt;='Campaign Metadata'!$C$2),"iPhone 16 Launch", IF(AND(A97&gt;='Campaign Metadata'!$B$3,A97&lt;='Campaign Metadata'!$C$3), "MacBook Air M3 Campaign", IF(AND(A97&gt;='Campaign Metadata'!$B$4,A97&lt;='Campaign Metadata'!$C$4), "Apple Watch Ultra 2 Launch", IF(AND(A97&gt;='Campaign Metadata'!$B$5,A97&lt;='Campaign Metadata'!$C$5), "Sustainability Awareness Drive", IF(AND(A97&gt;='Campaign Metadata'!$B$6,A97&lt;='Campaign Metadata'!$C$6), "Apple Event September 2025", "No Campaign")))))</f>
        <v>No Campaign</v>
      </c>
    </row>
    <row r="98" spans="1:8" x14ac:dyDescent="0.3">
      <c r="A98" s="5">
        <v>45614</v>
      </c>
      <c r="B98" s="21" t="s">
        <v>29</v>
      </c>
      <c r="C98" s="22">
        <v>5798</v>
      </c>
      <c r="D98" s="22">
        <v>592</v>
      </c>
      <c r="E98" s="22">
        <v>631128</v>
      </c>
      <c r="F98">
        <v>1.6774727155188811</v>
      </c>
      <c r="G98">
        <v>13471</v>
      </c>
      <c r="H98" t="str">
        <f>IF(AND(A98&gt;='Campaign Metadata'!$B$2,A98&lt;='Campaign Metadata'!$C$2),"iPhone 16 Launch", IF(AND(A98&gt;='Campaign Metadata'!$B$3,A98&lt;='Campaign Metadata'!$C$3), "MacBook Air M3 Campaign", IF(AND(A98&gt;='Campaign Metadata'!$B$4,A98&lt;='Campaign Metadata'!$C$4), "Apple Watch Ultra 2 Launch", IF(AND(A98&gt;='Campaign Metadata'!$B$5,A98&lt;='Campaign Metadata'!$C$5), "Sustainability Awareness Drive", IF(AND(A98&gt;='Campaign Metadata'!$B$6,A98&lt;='Campaign Metadata'!$C$6), "Apple Event September 2025", "No Campaign")))))</f>
        <v>No Campaign</v>
      </c>
    </row>
    <row r="99" spans="1:8" x14ac:dyDescent="0.3">
      <c r="A99" s="5">
        <v>45614</v>
      </c>
      <c r="B99" s="21" t="s">
        <v>31</v>
      </c>
      <c r="C99" s="22">
        <v>7036</v>
      </c>
      <c r="D99" s="22">
        <v>652</v>
      </c>
      <c r="E99" s="22">
        <v>637512</v>
      </c>
      <c r="F99">
        <v>3.5705994553828009</v>
      </c>
      <c r="G99">
        <v>51796</v>
      </c>
      <c r="H99" t="str">
        <f>IF(AND(A99&gt;='Campaign Metadata'!$B$2,A99&lt;='Campaign Metadata'!$C$2),"iPhone 16 Launch", IF(AND(A99&gt;='Campaign Metadata'!$B$3,A99&lt;='Campaign Metadata'!$C$3), "MacBook Air M3 Campaign", IF(AND(A99&gt;='Campaign Metadata'!$B$4,A99&lt;='Campaign Metadata'!$C$4), "Apple Watch Ultra 2 Launch", IF(AND(A99&gt;='Campaign Metadata'!$B$5,A99&lt;='Campaign Metadata'!$C$5), "Sustainability Awareness Drive", IF(AND(A99&gt;='Campaign Metadata'!$B$6,A99&lt;='Campaign Metadata'!$C$6), "Apple Event September 2025", "No Campaign")))))</f>
        <v>No Campaign</v>
      </c>
    </row>
    <row r="100" spans="1:8" x14ac:dyDescent="0.3">
      <c r="A100" s="5">
        <v>45614</v>
      </c>
      <c r="B100" s="21" t="s">
        <v>30</v>
      </c>
      <c r="C100" s="22">
        <v>3355</v>
      </c>
      <c r="D100" s="22">
        <v>176</v>
      </c>
      <c r="E100" s="22">
        <v>640691</v>
      </c>
      <c r="F100">
        <v>12.426427091999111</v>
      </c>
      <c r="G100">
        <v>40268</v>
      </c>
      <c r="H100" t="str">
        <f>IF(AND(A100&gt;='Campaign Metadata'!$B$2,A100&lt;='Campaign Metadata'!$C$2),"iPhone 16 Launch", IF(AND(A100&gt;='Campaign Metadata'!$B$3,A100&lt;='Campaign Metadata'!$C$3), "MacBook Air M3 Campaign", IF(AND(A100&gt;='Campaign Metadata'!$B$4,A100&lt;='Campaign Metadata'!$C$4), "Apple Watch Ultra 2 Launch", IF(AND(A100&gt;='Campaign Metadata'!$B$5,A100&lt;='Campaign Metadata'!$C$5), "Sustainability Awareness Drive", IF(AND(A100&gt;='Campaign Metadata'!$B$6,A100&lt;='Campaign Metadata'!$C$6), "Apple Event September 2025", "No Campaign")))))</f>
        <v>No Campaign</v>
      </c>
    </row>
    <row r="101" spans="1:8" x14ac:dyDescent="0.3">
      <c r="A101" s="5">
        <v>45614</v>
      </c>
      <c r="B101" s="21" t="s">
        <v>30</v>
      </c>
      <c r="C101" s="22">
        <v>6887</v>
      </c>
      <c r="D101" s="22">
        <v>418</v>
      </c>
      <c r="E101" s="22">
        <v>647160</v>
      </c>
      <c r="F101">
        <v>20.240280610668151</v>
      </c>
      <c r="G101">
        <v>18329</v>
      </c>
      <c r="H101" t="str">
        <f>IF(AND(A101&gt;='Campaign Metadata'!$B$2,A101&lt;='Campaign Metadata'!$C$2),"iPhone 16 Launch", IF(AND(A101&gt;='Campaign Metadata'!$B$3,A101&lt;='Campaign Metadata'!$C$3), "MacBook Air M3 Campaign", IF(AND(A101&gt;='Campaign Metadata'!$B$4,A101&lt;='Campaign Metadata'!$C$4), "Apple Watch Ultra 2 Launch", IF(AND(A101&gt;='Campaign Metadata'!$B$5,A101&lt;='Campaign Metadata'!$C$5), "Sustainability Awareness Drive", IF(AND(A101&gt;='Campaign Metadata'!$B$6,A101&lt;='Campaign Metadata'!$C$6), "Apple Event September 2025", "No Campaign")))))</f>
        <v>No Campaign</v>
      </c>
    </row>
    <row r="102" spans="1:8" x14ac:dyDescent="0.3">
      <c r="A102" s="5">
        <v>45621</v>
      </c>
      <c r="B102" s="21" t="s">
        <v>29</v>
      </c>
      <c r="C102" s="22">
        <v>8961</v>
      </c>
      <c r="D102" s="22">
        <v>476</v>
      </c>
      <c r="E102" s="22">
        <v>655645</v>
      </c>
      <c r="F102">
        <v>15.458517947974901</v>
      </c>
      <c r="G102">
        <v>44865</v>
      </c>
      <c r="H102" t="str">
        <f>IF(AND(A102&gt;='Campaign Metadata'!$B$2,A102&lt;='Campaign Metadata'!$C$2),"iPhone 16 Launch", IF(AND(A102&gt;='Campaign Metadata'!$B$3,A102&lt;='Campaign Metadata'!$C$3), "MacBook Air M3 Campaign", IF(AND(A102&gt;='Campaign Metadata'!$B$4,A102&lt;='Campaign Metadata'!$C$4), "Apple Watch Ultra 2 Launch", IF(AND(A102&gt;='Campaign Metadata'!$B$5,A102&lt;='Campaign Metadata'!$C$5), "Sustainability Awareness Drive", IF(AND(A102&gt;='Campaign Metadata'!$B$6,A102&lt;='Campaign Metadata'!$C$6), "Apple Event September 2025", "No Campaign")))))</f>
        <v>No Campaign</v>
      </c>
    </row>
    <row r="103" spans="1:8" x14ac:dyDescent="0.3">
      <c r="A103" s="5">
        <v>45621</v>
      </c>
      <c r="B103" s="21" t="s">
        <v>29</v>
      </c>
      <c r="C103" s="22">
        <v>6827</v>
      </c>
      <c r="D103" s="22">
        <v>775</v>
      </c>
      <c r="E103" s="22">
        <v>661697</v>
      </c>
      <c r="F103">
        <v>15.96622018839439</v>
      </c>
      <c r="G103">
        <v>56850</v>
      </c>
      <c r="H103" t="str">
        <f>IF(AND(A103&gt;='Campaign Metadata'!$B$2,A103&lt;='Campaign Metadata'!$C$2),"iPhone 16 Launch", IF(AND(A103&gt;='Campaign Metadata'!$B$3,A103&lt;='Campaign Metadata'!$C$3), "MacBook Air M3 Campaign", IF(AND(A103&gt;='Campaign Metadata'!$B$4,A103&lt;='Campaign Metadata'!$C$4), "Apple Watch Ultra 2 Launch", IF(AND(A103&gt;='Campaign Metadata'!$B$5,A103&lt;='Campaign Metadata'!$C$5), "Sustainability Awareness Drive", IF(AND(A103&gt;='Campaign Metadata'!$B$6,A103&lt;='Campaign Metadata'!$C$6), "Apple Event September 2025", "No Campaign")))))</f>
        <v>No Campaign</v>
      </c>
    </row>
    <row r="104" spans="1:8" x14ac:dyDescent="0.3">
      <c r="A104" s="5">
        <v>45621</v>
      </c>
      <c r="B104" s="21" t="s">
        <v>30</v>
      </c>
      <c r="C104" s="22">
        <v>9737</v>
      </c>
      <c r="D104" s="22">
        <v>792</v>
      </c>
      <c r="E104" s="22">
        <v>670642</v>
      </c>
      <c r="F104">
        <v>5.301785453341723</v>
      </c>
      <c r="G104">
        <v>56698</v>
      </c>
      <c r="H104" t="str">
        <f>IF(AND(A104&gt;='Campaign Metadata'!$B$2,A104&lt;='Campaign Metadata'!$C$2),"iPhone 16 Launch", IF(AND(A104&gt;='Campaign Metadata'!$B$3,A104&lt;='Campaign Metadata'!$C$3), "MacBook Air M3 Campaign", IF(AND(A104&gt;='Campaign Metadata'!$B$4,A104&lt;='Campaign Metadata'!$C$4), "Apple Watch Ultra 2 Launch", IF(AND(A104&gt;='Campaign Metadata'!$B$5,A104&lt;='Campaign Metadata'!$C$5), "Sustainability Awareness Drive", IF(AND(A104&gt;='Campaign Metadata'!$B$6,A104&lt;='Campaign Metadata'!$C$6), "Apple Event September 2025", "No Campaign")))))</f>
        <v>No Campaign</v>
      </c>
    </row>
    <row r="105" spans="1:8" x14ac:dyDescent="0.3">
      <c r="A105" s="5">
        <v>45621</v>
      </c>
      <c r="B105" s="21" t="s">
        <v>32</v>
      </c>
      <c r="C105" s="22">
        <v>5719</v>
      </c>
      <c r="D105" s="22">
        <v>576</v>
      </c>
      <c r="E105" s="22">
        <v>675785</v>
      </c>
      <c r="F105">
        <v>10.21656296011305</v>
      </c>
      <c r="G105">
        <v>38272</v>
      </c>
      <c r="H105" t="str">
        <f>IF(AND(A105&gt;='Campaign Metadata'!$B$2,A105&lt;='Campaign Metadata'!$C$2),"iPhone 16 Launch", IF(AND(A105&gt;='Campaign Metadata'!$B$3,A105&lt;='Campaign Metadata'!$C$3), "MacBook Air M3 Campaign", IF(AND(A105&gt;='Campaign Metadata'!$B$4,A105&lt;='Campaign Metadata'!$C$4), "Apple Watch Ultra 2 Launch", IF(AND(A105&gt;='Campaign Metadata'!$B$5,A105&lt;='Campaign Metadata'!$C$5), "Sustainability Awareness Drive", IF(AND(A105&gt;='Campaign Metadata'!$B$6,A105&lt;='Campaign Metadata'!$C$6), "Apple Event September 2025", "No Campaign")))))</f>
        <v>No Campaign</v>
      </c>
    </row>
    <row r="106" spans="1:8" x14ac:dyDescent="0.3">
      <c r="A106" s="5">
        <v>45628</v>
      </c>
      <c r="B106" s="21" t="s">
        <v>29</v>
      </c>
      <c r="C106" s="22">
        <v>1593</v>
      </c>
      <c r="D106" s="22">
        <v>224</v>
      </c>
      <c r="E106" s="22">
        <v>677154</v>
      </c>
      <c r="F106">
        <v>4.1495730660972248</v>
      </c>
      <c r="G106">
        <v>52845</v>
      </c>
      <c r="H106" t="str">
        <f>IF(AND(A106&gt;='Campaign Metadata'!$B$2,A106&lt;='Campaign Metadata'!$C$2),"iPhone 16 Launch", IF(AND(A106&gt;='Campaign Metadata'!$B$3,A106&lt;='Campaign Metadata'!$C$3), "MacBook Air M3 Campaign", IF(AND(A106&gt;='Campaign Metadata'!$B$4,A106&lt;='Campaign Metadata'!$C$4), "Apple Watch Ultra 2 Launch", IF(AND(A106&gt;='Campaign Metadata'!$B$5,A106&lt;='Campaign Metadata'!$C$5), "Sustainability Awareness Drive", IF(AND(A106&gt;='Campaign Metadata'!$B$6,A106&lt;='Campaign Metadata'!$C$6), "Apple Event September 2025", "No Campaign")))))</f>
        <v>No Campaign</v>
      </c>
    </row>
    <row r="107" spans="1:8" x14ac:dyDescent="0.3">
      <c r="A107" s="5">
        <v>45628</v>
      </c>
      <c r="B107" s="21" t="s">
        <v>30</v>
      </c>
      <c r="C107" s="22">
        <v>5839</v>
      </c>
      <c r="D107" s="22">
        <v>437</v>
      </c>
      <c r="E107" s="22">
        <v>682556</v>
      </c>
      <c r="F107">
        <v>17.44750613869045</v>
      </c>
      <c r="G107">
        <v>16397</v>
      </c>
      <c r="H107" t="str">
        <f>IF(AND(A107&gt;='Campaign Metadata'!$B$2,A107&lt;='Campaign Metadata'!$C$2),"iPhone 16 Launch", IF(AND(A107&gt;='Campaign Metadata'!$B$3,A107&lt;='Campaign Metadata'!$C$3), "MacBook Air M3 Campaign", IF(AND(A107&gt;='Campaign Metadata'!$B$4,A107&lt;='Campaign Metadata'!$C$4), "Apple Watch Ultra 2 Launch", IF(AND(A107&gt;='Campaign Metadata'!$B$5,A107&lt;='Campaign Metadata'!$C$5), "Sustainability Awareness Drive", IF(AND(A107&gt;='Campaign Metadata'!$B$6,A107&lt;='Campaign Metadata'!$C$6), "Apple Event September 2025", "No Campaign")))))</f>
        <v>No Campaign</v>
      </c>
    </row>
    <row r="108" spans="1:8" x14ac:dyDescent="0.3">
      <c r="A108" s="5">
        <v>45628</v>
      </c>
      <c r="B108" s="21" t="s">
        <v>29</v>
      </c>
      <c r="C108" s="22">
        <v>8394</v>
      </c>
      <c r="D108" s="22">
        <v>764</v>
      </c>
      <c r="E108" s="22">
        <v>690186</v>
      </c>
      <c r="F108">
        <v>6.3556780346167558</v>
      </c>
      <c r="G108">
        <v>42373</v>
      </c>
      <c r="H108" t="str">
        <f>IF(AND(A108&gt;='Campaign Metadata'!$B$2,A108&lt;='Campaign Metadata'!$C$2),"iPhone 16 Launch", IF(AND(A108&gt;='Campaign Metadata'!$B$3,A108&lt;='Campaign Metadata'!$C$3), "MacBook Air M3 Campaign", IF(AND(A108&gt;='Campaign Metadata'!$B$4,A108&lt;='Campaign Metadata'!$C$4), "Apple Watch Ultra 2 Launch", IF(AND(A108&gt;='Campaign Metadata'!$B$5,A108&lt;='Campaign Metadata'!$C$5), "Sustainability Awareness Drive", IF(AND(A108&gt;='Campaign Metadata'!$B$6,A108&lt;='Campaign Metadata'!$C$6), "Apple Event September 2025", "No Campaign")))))</f>
        <v>No Campaign</v>
      </c>
    </row>
    <row r="109" spans="1:8" x14ac:dyDescent="0.3">
      <c r="A109" s="5">
        <v>45628</v>
      </c>
      <c r="B109" s="21" t="s">
        <v>32</v>
      </c>
      <c r="C109" s="22">
        <v>4493</v>
      </c>
      <c r="D109" s="22">
        <v>564</v>
      </c>
      <c r="E109" s="22">
        <v>694115</v>
      </c>
      <c r="F109">
        <v>16.625487131094989</v>
      </c>
      <c r="G109">
        <v>45525</v>
      </c>
      <c r="H109" t="str">
        <f>IF(AND(A109&gt;='Campaign Metadata'!$B$2,A109&lt;='Campaign Metadata'!$C$2),"iPhone 16 Launch", IF(AND(A109&gt;='Campaign Metadata'!$B$3,A109&lt;='Campaign Metadata'!$C$3), "MacBook Air M3 Campaign", IF(AND(A109&gt;='Campaign Metadata'!$B$4,A109&lt;='Campaign Metadata'!$C$4), "Apple Watch Ultra 2 Launch", IF(AND(A109&gt;='Campaign Metadata'!$B$5,A109&lt;='Campaign Metadata'!$C$5), "Sustainability Awareness Drive", IF(AND(A109&gt;='Campaign Metadata'!$B$6,A109&lt;='Campaign Metadata'!$C$6), "Apple Event September 2025", "No Campaign")))))</f>
        <v>No Campaign</v>
      </c>
    </row>
    <row r="110" spans="1:8" x14ac:dyDescent="0.3">
      <c r="A110" s="5">
        <v>45635</v>
      </c>
      <c r="B110" s="21" t="s">
        <v>31</v>
      </c>
      <c r="C110" s="22">
        <v>7164</v>
      </c>
      <c r="D110" s="22">
        <v>522</v>
      </c>
      <c r="E110" s="22">
        <v>700757</v>
      </c>
      <c r="F110">
        <v>13.449169969047761</v>
      </c>
      <c r="G110">
        <v>34570</v>
      </c>
      <c r="H110" t="str">
        <f>IF(AND(A110&gt;='Campaign Metadata'!$B$2,A110&lt;='Campaign Metadata'!$C$2),"iPhone 16 Launch", IF(AND(A110&gt;='Campaign Metadata'!$B$3,A110&lt;='Campaign Metadata'!$C$3), "MacBook Air M3 Campaign", IF(AND(A110&gt;='Campaign Metadata'!$B$4,A110&lt;='Campaign Metadata'!$C$4), "Apple Watch Ultra 2 Launch", IF(AND(A110&gt;='Campaign Metadata'!$B$5,A110&lt;='Campaign Metadata'!$C$5), "Sustainability Awareness Drive", IF(AND(A110&gt;='Campaign Metadata'!$B$6,A110&lt;='Campaign Metadata'!$C$6), "Apple Event September 2025", "No Campaign")))))</f>
        <v>No Campaign</v>
      </c>
    </row>
    <row r="111" spans="1:8" x14ac:dyDescent="0.3">
      <c r="A111" s="5">
        <v>45635</v>
      </c>
      <c r="B111" s="21" t="s">
        <v>29</v>
      </c>
      <c r="C111" s="22">
        <v>3672</v>
      </c>
      <c r="D111" s="22">
        <v>211</v>
      </c>
      <c r="E111" s="22">
        <v>704218</v>
      </c>
      <c r="F111">
        <v>12.35057894004413</v>
      </c>
      <c r="G111">
        <v>28284</v>
      </c>
      <c r="H111" t="str">
        <f>IF(AND(A111&gt;='Campaign Metadata'!$B$2,A111&lt;='Campaign Metadata'!$C$2),"iPhone 16 Launch", IF(AND(A111&gt;='Campaign Metadata'!$B$3,A111&lt;='Campaign Metadata'!$C$3), "MacBook Air M3 Campaign", IF(AND(A111&gt;='Campaign Metadata'!$B$4,A111&lt;='Campaign Metadata'!$C$4), "Apple Watch Ultra 2 Launch", IF(AND(A111&gt;='Campaign Metadata'!$B$5,A111&lt;='Campaign Metadata'!$C$5), "Sustainability Awareness Drive", IF(AND(A111&gt;='Campaign Metadata'!$B$6,A111&lt;='Campaign Metadata'!$C$6), "Apple Event September 2025", "No Campaign")))))</f>
        <v>No Campaign</v>
      </c>
    </row>
    <row r="112" spans="1:8" x14ac:dyDescent="0.3">
      <c r="A112" s="5">
        <v>45635</v>
      </c>
      <c r="B112" s="21" t="s">
        <v>32</v>
      </c>
      <c r="C112" s="22">
        <v>5200</v>
      </c>
      <c r="D112" s="22">
        <v>410</v>
      </c>
      <c r="E112" s="22">
        <v>709008</v>
      </c>
      <c r="F112">
        <v>12.913394489201821</v>
      </c>
      <c r="G112">
        <v>28994</v>
      </c>
      <c r="H112" t="str">
        <f>IF(AND(A112&gt;='Campaign Metadata'!$B$2,A112&lt;='Campaign Metadata'!$C$2),"iPhone 16 Launch", IF(AND(A112&gt;='Campaign Metadata'!$B$3,A112&lt;='Campaign Metadata'!$C$3), "MacBook Air M3 Campaign", IF(AND(A112&gt;='Campaign Metadata'!$B$4,A112&lt;='Campaign Metadata'!$C$4), "Apple Watch Ultra 2 Launch", IF(AND(A112&gt;='Campaign Metadata'!$B$5,A112&lt;='Campaign Metadata'!$C$5), "Sustainability Awareness Drive", IF(AND(A112&gt;='Campaign Metadata'!$B$6,A112&lt;='Campaign Metadata'!$C$6), "Apple Event September 2025", "No Campaign")))))</f>
        <v>No Campaign</v>
      </c>
    </row>
    <row r="113" spans="1:8" x14ac:dyDescent="0.3">
      <c r="A113" s="5">
        <v>45635</v>
      </c>
      <c r="B113" s="21" t="s">
        <v>30</v>
      </c>
      <c r="C113" s="22">
        <v>1016</v>
      </c>
      <c r="D113" s="22">
        <v>67</v>
      </c>
      <c r="E113" s="22">
        <v>709957</v>
      </c>
      <c r="F113">
        <v>20.774215903216671</v>
      </c>
      <c r="G113">
        <v>33284</v>
      </c>
      <c r="H113" t="str">
        <f>IF(AND(A113&gt;='Campaign Metadata'!$B$2,A113&lt;='Campaign Metadata'!$C$2),"iPhone 16 Launch", IF(AND(A113&gt;='Campaign Metadata'!$B$3,A113&lt;='Campaign Metadata'!$C$3), "MacBook Air M3 Campaign", IF(AND(A113&gt;='Campaign Metadata'!$B$4,A113&lt;='Campaign Metadata'!$C$4), "Apple Watch Ultra 2 Launch", IF(AND(A113&gt;='Campaign Metadata'!$B$5,A113&lt;='Campaign Metadata'!$C$5), "Sustainability Awareness Drive", IF(AND(A113&gt;='Campaign Metadata'!$B$6,A113&lt;='Campaign Metadata'!$C$6), "Apple Event September 2025", "No Campaign")))))</f>
        <v>No Campaign</v>
      </c>
    </row>
    <row r="114" spans="1:8" x14ac:dyDescent="0.3">
      <c r="A114" s="5">
        <v>45642</v>
      </c>
      <c r="B114" s="21" t="s">
        <v>29</v>
      </c>
      <c r="C114" s="22">
        <v>4191</v>
      </c>
      <c r="D114" s="22">
        <v>599</v>
      </c>
      <c r="E114" s="22">
        <v>713549</v>
      </c>
      <c r="F114">
        <v>11.56416728213479</v>
      </c>
      <c r="G114">
        <v>27833</v>
      </c>
      <c r="H114" t="str">
        <f>IF(AND(A114&gt;='Campaign Metadata'!$B$2,A114&lt;='Campaign Metadata'!$C$2),"iPhone 16 Launch", IF(AND(A114&gt;='Campaign Metadata'!$B$3,A114&lt;='Campaign Metadata'!$C$3), "MacBook Air M3 Campaign", IF(AND(A114&gt;='Campaign Metadata'!$B$4,A114&lt;='Campaign Metadata'!$C$4), "Apple Watch Ultra 2 Launch", IF(AND(A114&gt;='Campaign Metadata'!$B$5,A114&lt;='Campaign Metadata'!$C$5), "Sustainability Awareness Drive", IF(AND(A114&gt;='Campaign Metadata'!$B$6,A114&lt;='Campaign Metadata'!$C$6), "Apple Event September 2025", "No Campaign")))))</f>
        <v>No Campaign</v>
      </c>
    </row>
    <row r="115" spans="1:8" x14ac:dyDescent="0.3">
      <c r="A115" s="5">
        <v>45642</v>
      </c>
      <c r="B115" s="21" t="s">
        <v>29</v>
      </c>
      <c r="C115" s="22">
        <v>1392</v>
      </c>
      <c r="D115" s="22">
        <v>182</v>
      </c>
      <c r="E115" s="22">
        <v>714759</v>
      </c>
      <c r="F115">
        <v>5.9603306848881932</v>
      </c>
      <c r="G115">
        <v>35122</v>
      </c>
      <c r="H115" t="str">
        <f>IF(AND(A115&gt;='Campaign Metadata'!$B$2,A115&lt;='Campaign Metadata'!$C$2),"iPhone 16 Launch", IF(AND(A115&gt;='Campaign Metadata'!$B$3,A115&lt;='Campaign Metadata'!$C$3), "MacBook Air M3 Campaign", IF(AND(A115&gt;='Campaign Metadata'!$B$4,A115&lt;='Campaign Metadata'!$C$4), "Apple Watch Ultra 2 Launch", IF(AND(A115&gt;='Campaign Metadata'!$B$5,A115&lt;='Campaign Metadata'!$C$5), "Sustainability Awareness Drive", IF(AND(A115&gt;='Campaign Metadata'!$B$6,A115&lt;='Campaign Metadata'!$C$6), "Apple Event September 2025", "No Campaign")))))</f>
        <v>No Campaign</v>
      </c>
    </row>
    <row r="116" spans="1:8" x14ac:dyDescent="0.3">
      <c r="A116" s="5">
        <v>45642</v>
      </c>
      <c r="B116" s="21" t="s">
        <v>30</v>
      </c>
      <c r="C116" s="22">
        <v>9616</v>
      </c>
      <c r="D116" s="22">
        <v>1089</v>
      </c>
      <c r="E116" s="22">
        <v>723286</v>
      </c>
      <c r="F116">
        <v>19.25863351426683</v>
      </c>
      <c r="G116">
        <v>15017</v>
      </c>
      <c r="H116" t="str">
        <f>IF(AND(A116&gt;='Campaign Metadata'!$B$2,A116&lt;='Campaign Metadata'!$C$2),"iPhone 16 Launch", IF(AND(A116&gt;='Campaign Metadata'!$B$3,A116&lt;='Campaign Metadata'!$C$3), "MacBook Air M3 Campaign", IF(AND(A116&gt;='Campaign Metadata'!$B$4,A116&lt;='Campaign Metadata'!$C$4), "Apple Watch Ultra 2 Launch", IF(AND(A116&gt;='Campaign Metadata'!$B$5,A116&lt;='Campaign Metadata'!$C$5), "Sustainability Awareness Drive", IF(AND(A116&gt;='Campaign Metadata'!$B$6,A116&lt;='Campaign Metadata'!$C$6), "Apple Event September 2025", "No Campaign")))))</f>
        <v>No Campaign</v>
      </c>
    </row>
    <row r="117" spans="1:8" x14ac:dyDescent="0.3">
      <c r="A117" s="5">
        <v>45642</v>
      </c>
      <c r="B117" s="21" t="s">
        <v>31</v>
      </c>
      <c r="C117" s="22">
        <v>7272</v>
      </c>
      <c r="D117" s="22">
        <v>997</v>
      </c>
      <c r="E117" s="22">
        <v>729561</v>
      </c>
      <c r="F117">
        <v>13.428486445958599</v>
      </c>
      <c r="G117">
        <v>26370</v>
      </c>
      <c r="H117" t="str">
        <f>IF(AND(A117&gt;='Campaign Metadata'!$B$2,A117&lt;='Campaign Metadata'!$C$2),"iPhone 16 Launch", IF(AND(A117&gt;='Campaign Metadata'!$B$3,A117&lt;='Campaign Metadata'!$C$3), "MacBook Air M3 Campaign", IF(AND(A117&gt;='Campaign Metadata'!$B$4,A117&lt;='Campaign Metadata'!$C$4), "Apple Watch Ultra 2 Launch", IF(AND(A117&gt;='Campaign Metadata'!$B$5,A117&lt;='Campaign Metadata'!$C$5), "Sustainability Awareness Drive", IF(AND(A117&gt;='Campaign Metadata'!$B$6,A117&lt;='Campaign Metadata'!$C$6), "Apple Event September 2025", "No Campaign")))))</f>
        <v>No Campaign</v>
      </c>
    </row>
    <row r="118" spans="1:8" x14ac:dyDescent="0.3">
      <c r="A118" s="5">
        <v>45649</v>
      </c>
      <c r="B118" s="21" t="s">
        <v>30</v>
      </c>
      <c r="C118" s="22">
        <v>1571</v>
      </c>
      <c r="D118" s="22">
        <v>204</v>
      </c>
      <c r="E118" s="22">
        <v>730928</v>
      </c>
      <c r="F118">
        <v>19.449384891535139</v>
      </c>
      <c r="G118">
        <v>39252</v>
      </c>
      <c r="H118" t="str">
        <f>IF(AND(A118&gt;='Campaign Metadata'!$B$2,A118&lt;='Campaign Metadata'!$C$2),"iPhone 16 Launch", IF(AND(A118&gt;='Campaign Metadata'!$B$3,A118&lt;='Campaign Metadata'!$C$3), "MacBook Air M3 Campaign", IF(AND(A118&gt;='Campaign Metadata'!$B$4,A118&lt;='Campaign Metadata'!$C$4), "Apple Watch Ultra 2 Launch", IF(AND(A118&gt;='Campaign Metadata'!$B$5,A118&lt;='Campaign Metadata'!$C$5), "Sustainability Awareness Drive", IF(AND(A118&gt;='Campaign Metadata'!$B$6,A118&lt;='Campaign Metadata'!$C$6), "Apple Event September 2025", "No Campaign")))))</f>
        <v>No Campaign</v>
      </c>
    </row>
    <row r="119" spans="1:8" x14ac:dyDescent="0.3">
      <c r="A119" s="5">
        <v>45649</v>
      </c>
      <c r="B119" s="21" t="s">
        <v>29</v>
      </c>
      <c r="C119" s="22">
        <v>4631</v>
      </c>
      <c r="D119" s="22">
        <v>317</v>
      </c>
      <c r="E119" s="22">
        <v>735242</v>
      </c>
      <c r="F119">
        <v>1.381177897889402</v>
      </c>
      <c r="G119">
        <v>17999</v>
      </c>
      <c r="H119" t="str">
        <f>IF(AND(A119&gt;='Campaign Metadata'!$B$2,A119&lt;='Campaign Metadata'!$C$2),"iPhone 16 Launch", IF(AND(A119&gt;='Campaign Metadata'!$B$3,A119&lt;='Campaign Metadata'!$C$3), "MacBook Air M3 Campaign", IF(AND(A119&gt;='Campaign Metadata'!$B$4,A119&lt;='Campaign Metadata'!$C$4), "Apple Watch Ultra 2 Launch", IF(AND(A119&gt;='Campaign Metadata'!$B$5,A119&lt;='Campaign Metadata'!$C$5), "Sustainability Awareness Drive", IF(AND(A119&gt;='Campaign Metadata'!$B$6,A119&lt;='Campaign Metadata'!$C$6), "Apple Event September 2025", "No Campaign")))))</f>
        <v>No Campaign</v>
      </c>
    </row>
    <row r="120" spans="1:8" x14ac:dyDescent="0.3">
      <c r="A120" s="5">
        <v>45649</v>
      </c>
      <c r="B120" s="21" t="s">
        <v>30</v>
      </c>
      <c r="C120" s="22">
        <v>7172</v>
      </c>
      <c r="D120" s="22">
        <v>998</v>
      </c>
      <c r="E120" s="22">
        <v>741416</v>
      </c>
      <c r="F120">
        <v>18.0667803230575</v>
      </c>
      <c r="G120">
        <v>32436</v>
      </c>
      <c r="H120" t="str">
        <f>IF(AND(A120&gt;='Campaign Metadata'!$B$2,A120&lt;='Campaign Metadata'!$C$2),"iPhone 16 Launch", IF(AND(A120&gt;='Campaign Metadata'!$B$3,A120&lt;='Campaign Metadata'!$C$3), "MacBook Air M3 Campaign", IF(AND(A120&gt;='Campaign Metadata'!$B$4,A120&lt;='Campaign Metadata'!$C$4), "Apple Watch Ultra 2 Launch", IF(AND(A120&gt;='Campaign Metadata'!$B$5,A120&lt;='Campaign Metadata'!$C$5), "Sustainability Awareness Drive", IF(AND(A120&gt;='Campaign Metadata'!$B$6,A120&lt;='Campaign Metadata'!$C$6), "Apple Event September 2025", "No Campaign")))))</f>
        <v>No Campaign</v>
      </c>
    </row>
    <row r="121" spans="1:8" x14ac:dyDescent="0.3">
      <c r="A121" s="5">
        <v>45649</v>
      </c>
      <c r="B121" s="21" t="s">
        <v>32</v>
      </c>
      <c r="C121" s="22">
        <v>8177</v>
      </c>
      <c r="D121" s="22">
        <v>849</v>
      </c>
      <c r="E121" s="22">
        <v>748744</v>
      </c>
      <c r="F121">
        <v>10.34986590877523</v>
      </c>
      <c r="G121">
        <v>52963</v>
      </c>
      <c r="H121" t="str">
        <f>IF(AND(A121&gt;='Campaign Metadata'!$B$2,A121&lt;='Campaign Metadata'!$C$2),"iPhone 16 Launch", IF(AND(A121&gt;='Campaign Metadata'!$B$3,A121&lt;='Campaign Metadata'!$C$3), "MacBook Air M3 Campaign", IF(AND(A121&gt;='Campaign Metadata'!$B$4,A121&lt;='Campaign Metadata'!$C$4), "Apple Watch Ultra 2 Launch", IF(AND(A121&gt;='Campaign Metadata'!$B$5,A121&lt;='Campaign Metadata'!$C$5), "Sustainability Awareness Drive", IF(AND(A121&gt;='Campaign Metadata'!$B$6,A121&lt;='Campaign Metadata'!$C$6), "Apple Event September 2025", "No Campaign")))))</f>
        <v>No Campaign</v>
      </c>
    </row>
    <row r="122" spans="1:8" x14ac:dyDescent="0.3">
      <c r="A122" s="5">
        <v>45656</v>
      </c>
      <c r="B122" s="21" t="s">
        <v>30</v>
      </c>
      <c r="C122" s="22">
        <v>9433</v>
      </c>
      <c r="D122" s="22">
        <v>1233</v>
      </c>
      <c r="E122" s="22">
        <v>756944</v>
      </c>
      <c r="F122">
        <v>11.391727789638329</v>
      </c>
      <c r="G122">
        <v>12096</v>
      </c>
      <c r="H122" t="str">
        <f>IF(AND(A122&gt;='Campaign Metadata'!$B$2,A122&lt;='Campaign Metadata'!$C$2),"iPhone 16 Launch", IF(AND(A122&gt;='Campaign Metadata'!$B$3,A122&lt;='Campaign Metadata'!$C$3), "MacBook Air M3 Campaign", IF(AND(A122&gt;='Campaign Metadata'!$B$4,A122&lt;='Campaign Metadata'!$C$4), "Apple Watch Ultra 2 Launch", IF(AND(A122&gt;='Campaign Metadata'!$B$5,A122&lt;='Campaign Metadata'!$C$5), "Sustainability Awareness Drive", IF(AND(A122&gt;='Campaign Metadata'!$B$6,A122&lt;='Campaign Metadata'!$C$6), "Apple Event September 2025", "No Campaign")))))</f>
        <v>Apple Watch Ultra 2 Launch</v>
      </c>
    </row>
    <row r="123" spans="1:8" x14ac:dyDescent="0.3">
      <c r="A123" s="5">
        <v>45656</v>
      </c>
      <c r="B123" s="21" t="s">
        <v>29</v>
      </c>
      <c r="C123" s="22">
        <v>4897</v>
      </c>
      <c r="D123" s="22">
        <v>683</v>
      </c>
      <c r="E123" s="22">
        <v>761158</v>
      </c>
      <c r="F123">
        <v>15.06231294947961</v>
      </c>
      <c r="G123">
        <v>58201</v>
      </c>
      <c r="H123" t="str">
        <f>IF(AND(A123&gt;='Campaign Metadata'!$B$2,A123&lt;='Campaign Metadata'!$C$2),"iPhone 16 Launch", IF(AND(A123&gt;='Campaign Metadata'!$B$3,A123&lt;='Campaign Metadata'!$C$3), "MacBook Air M3 Campaign", IF(AND(A123&gt;='Campaign Metadata'!$B$4,A123&lt;='Campaign Metadata'!$C$4), "Apple Watch Ultra 2 Launch", IF(AND(A123&gt;='Campaign Metadata'!$B$5,A123&lt;='Campaign Metadata'!$C$5), "Sustainability Awareness Drive", IF(AND(A123&gt;='Campaign Metadata'!$B$6,A123&lt;='Campaign Metadata'!$C$6), "Apple Event September 2025", "No Campaign")))))</f>
        <v>Apple Watch Ultra 2 Launch</v>
      </c>
    </row>
    <row r="124" spans="1:8" x14ac:dyDescent="0.3">
      <c r="A124" s="5">
        <v>45656</v>
      </c>
      <c r="B124" s="21" t="s">
        <v>30</v>
      </c>
      <c r="C124" s="22">
        <v>9123</v>
      </c>
      <c r="D124" s="22">
        <v>746</v>
      </c>
      <c r="E124" s="22">
        <v>769535</v>
      </c>
      <c r="F124">
        <v>6.3086149427901264</v>
      </c>
      <c r="G124">
        <v>35279</v>
      </c>
      <c r="H124" t="str">
        <f>IF(AND(A124&gt;='Campaign Metadata'!$B$2,A124&lt;='Campaign Metadata'!$C$2),"iPhone 16 Launch", IF(AND(A124&gt;='Campaign Metadata'!$B$3,A124&lt;='Campaign Metadata'!$C$3), "MacBook Air M3 Campaign", IF(AND(A124&gt;='Campaign Metadata'!$B$4,A124&lt;='Campaign Metadata'!$C$4), "Apple Watch Ultra 2 Launch", IF(AND(A124&gt;='Campaign Metadata'!$B$5,A124&lt;='Campaign Metadata'!$C$5), "Sustainability Awareness Drive", IF(AND(A124&gt;='Campaign Metadata'!$B$6,A124&lt;='Campaign Metadata'!$C$6), "Apple Event September 2025", "No Campaign")))))</f>
        <v>Apple Watch Ultra 2 Launch</v>
      </c>
    </row>
    <row r="125" spans="1:8" x14ac:dyDescent="0.3">
      <c r="A125" s="5">
        <v>45656</v>
      </c>
      <c r="B125" s="21" t="s">
        <v>31</v>
      </c>
      <c r="C125" s="22">
        <v>3279</v>
      </c>
      <c r="D125" s="22">
        <v>200</v>
      </c>
      <c r="E125" s="22">
        <v>772614</v>
      </c>
      <c r="F125">
        <v>5.0212654702089274</v>
      </c>
      <c r="G125">
        <v>53363</v>
      </c>
      <c r="H125" t="str">
        <f>IF(AND(A125&gt;='Campaign Metadata'!$B$2,A125&lt;='Campaign Metadata'!$C$2),"iPhone 16 Launch", IF(AND(A125&gt;='Campaign Metadata'!$B$3,A125&lt;='Campaign Metadata'!$C$3), "MacBook Air M3 Campaign", IF(AND(A125&gt;='Campaign Metadata'!$B$4,A125&lt;='Campaign Metadata'!$C$4), "Apple Watch Ultra 2 Launch", IF(AND(A125&gt;='Campaign Metadata'!$B$5,A125&lt;='Campaign Metadata'!$C$5), "Sustainability Awareness Drive", IF(AND(A125&gt;='Campaign Metadata'!$B$6,A125&lt;='Campaign Metadata'!$C$6), "Apple Event September 2025", "No Campaign")))))</f>
        <v>Apple Watch Ultra 2 Launch</v>
      </c>
    </row>
    <row r="126" spans="1:8" x14ac:dyDescent="0.3">
      <c r="A126" s="5">
        <v>45663</v>
      </c>
      <c r="B126" s="21" t="s">
        <v>30</v>
      </c>
      <c r="C126" s="22">
        <v>9980</v>
      </c>
      <c r="D126" s="22">
        <v>726</v>
      </c>
      <c r="E126" s="22">
        <v>781868</v>
      </c>
      <c r="F126">
        <v>4.0220344099003924</v>
      </c>
      <c r="G126">
        <v>58709</v>
      </c>
      <c r="H126" t="str">
        <f>IF(AND(A126&gt;='Campaign Metadata'!$B$2,A126&lt;='Campaign Metadata'!$C$2),"iPhone 16 Launch", IF(AND(A126&gt;='Campaign Metadata'!$B$3,A126&lt;='Campaign Metadata'!$C$3), "MacBook Air M3 Campaign", IF(AND(A126&gt;='Campaign Metadata'!$B$4,A126&lt;='Campaign Metadata'!$C$4), "Apple Watch Ultra 2 Launch", IF(AND(A126&gt;='Campaign Metadata'!$B$5,A126&lt;='Campaign Metadata'!$C$5), "Sustainability Awareness Drive", IF(AND(A126&gt;='Campaign Metadata'!$B$6,A126&lt;='Campaign Metadata'!$C$6), "Apple Event September 2025", "No Campaign")))))</f>
        <v>Apple Watch Ultra 2 Launch</v>
      </c>
    </row>
    <row r="127" spans="1:8" x14ac:dyDescent="0.3">
      <c r="A127" s="5">
        <v>45663</v>
      </c>
      <c r="B127" s="21" t="s">
        <v>31</v>
      </c>
      <c r="C127" s="22">
        <v>8451</v>
      </c>
      <c r="D127" s="22">
        <v>783</v>
      </c>
      <c r="E127" s="22">
        <v>789536</v>
      </c>
      <c r="F127">
        <v>12.407287318121019</v>
      </c>
      <c r="G127">
        <v>36201</v>
      </c>
      <c r="H127" t="str">
        <f>IF(AND(A127&gt;='Campaign Metadata'!$B$2,A127&lt;='Campaign Metadata'!$C$2),"iPhone 16 Launch", IF(AND(A127&gt;='Campaign Metadata'!$B$3,A127&lt;='Campaign Metadata'!$C$3), "MacBook Air M3 Campaign", IF(AND(A127&gt;='Campaign Metadata'!$B$4,A127&lt;='Campaign Metadata'!$C$4), "Apple Watch Ultra 2 Launch", IF(AND(A127&gt;='Campaign Metadata'!$B$5,A127&lt;='Campaign Metadata'!$C$5), "Sustainability Awareness Drive", IF(AND(A127&gt;='Campaign Metadata'!$B$6,A127&lt;='Campaign Metadata'!$C$6), "Apple Event September 2025", "No Campaign")))))</f>
        <v>Apple Watch Ultra 2 Launch</v>
      </c>
    </row>
    <row r="128" spans="1:8" x14ac:dyDescent="0.3">
      <c r="A128" s="5">
        <v>45663</v>
      </c>
      <c r="B128" s="21" t="s">
        <v>32</v>
      </c>
      <c r="C128" s="22">
        <v>9906</v>
      </c>
      <c r="D128" s="22">
        <v>1305</v>
      </c>
      <c r="E128" s="22">
        <v>798137</v>
      </c>
      <c r="F128">
        <v>9.1811305577864442</v>
      </c>
      <c r="G128">
        <v>29715</v>
      </c>
      <c r="H128" t="str">
        <f>IF(AND(A128&gt;='Campaign Metadata'!$B$2,A128&lt;='Campaign Metadata'!$C$2),"iPhone 16 Launch", IF(AND(A128&gt;='Campaign Metadata'!$B$3,A128&lt;='Campaign Metadata'!$C$3), "MacBook Air M3 Campaign", IF(AND(A128&gt;='Campaign Metadata'!$B$4,A128&lt;='Campaign Metadata'!$C$4), "Apple Watch Ultra 2 Launch", IF(AND(A128&gt;='Campaign Metadata'!$B$5,A128&lt;='Campaign Metadata'!$C$5), "Sustainability Awareness Drive", IF(AND(A128&gt;='Campaign Metadata'!$B$6,A128&lt;='Campaign Metadata'!$C$6), "Apple Event September 2025", "No Campaign")))))</f>
        <v>Apple Watch Ultra 2 Launch</v>
      </c>
    </row>
    <row r="129" spans="1:8" x14ac:dyDescent="0.3">
      <c r="A129" s="5">
        <v>45663</v>
      </c>
      <c r="B129" s="21" t="s">
        <v>31</v>
      </c>
      <c r="C129" s="22">
        <v>1775</v>
      </c>
      <c r="D129" s="22">
        <v>241</v>
      </c>
      <c r="E129" s="22">
        <v>799671</v>
      </c>
      <c r="F129">
        <v>8.1379717408784362</v>
      </c>
      <c r="G129">
        <v>39309</v>
      </c>
      <c r="H129" t="str">
        <f>IF(AND(A129&gt;='Campaign Metadata'!$B$2,A129&lt;='Campaign Metadata'!$C$2),"iPhone 16 Launch", IF(AND(A129&gt;='Campaign Metadata'!$B$3,A129&lt;='Campaign Metadata'!$C$3), "MacBook Air M3 Campaign", IF(AND(A129&gt;='Campaign Metadata'!$B$4,A129&lt;='Campaign Metadata'!$C$4), "Apple Watch Ultra 2 Launch", IF(AND(A129&gt;='Campaign Metadata'!$B$5,A129&lt;='Campaign Metadata'!$C$5), "Sustainability Awareness Drive", IF(AND(A129&gt;='Campaign Metadata'!$B$6,A129&lt;='Campaign Metadata'!$C$6), "Apple Event September 2025", "No Campaign")))))</f>
        <v>Apple Watch Ultra 2 Launch</v>
      </c>
    </row>
    <row r="130" spans="1:8" x14ac:dyDescent="0.3">
      <c r="A130" s="5">
        <v>45670</v>
      </c>
      <c r="B130" s="21" t="s">
        <v>30</v>
      </c>
      <c r="C130" s="22">
        <v>7869</v>
      </c>
      <c r="D130" s="22">
        <v>398</v>
      </c>
      <c r="E130" s="22">
        <v>807142</v>
      </c>
      <c r="F130">
        <v>15.211945357818079</v>
      </c>
      <c r="G130">
        <v>25078</v>
      </c>
      <c r="H130" t="str">
        <f>IF(AND(A130&gt;='Campaign Metadata'!$B$2,A130&lt;='Campaign Metadata'!$C$2),"iPhone 16 Launch", IF(AND(A130&gt;='Campaign Metadata'!$B$3,A130&lt;='Campaign Metadata'!$C$3), "MacBook Air M3 Campaign", IF(AND(A130&gt;='Campaign Metadata'!$B$4,A130&lt;='Campaign Metadata'!$C$4), "Apple Watch Ultra 2 Launch", IF(AND(A130&gt;='Campaign Metadata'!$B$5,A130&lt;='Campaign Metadata'!$C$5), "Sustainability Awareness Drive", IF(AND(A130&gt;='Campaign Metadata'!$B$6,A130&lt;='Campaign Metadata'!$C$6), "Apple Event September 2025", "No Campaign")))))</f>
        <v>No Campaign</v>
      </c>
    </row>
    <row r="131" spans="1:8" x14ac:dyDescent="0.3">
      <c r="A131" s="5">
        <v>45670</v>
      </c>
      <c r="B131" s="21" t="s">
        <v>29</v>
      </c>
      <c r="C131" s="22">
        <v>3247</v>
      </c>
      <c r="D131" s="22">
        <v>328</v>
      </c>
      <c r="E131" s="22">
        <v>810061</v>
      </c>
      <c r="F131">
        <v>13.941172331466401</v>
      </c>
      <c r="G131">
        <v>15105</v>
      </c>
      <c r="H131" t="str">
        <f>IF(AND(A131&gt;='Campaign Metadata'!$B$2,A131&lt;='Campaign Metadata'!$C$2),"iPhone 16 Launch", IF(AND(A131&gt;='Campaign Metadata'!$B$3,A131&lt;='Campaign Metadata'!$C$3), "MacBook Air M3 Campaign", IF(AND(A131&gt;='Campaign Metadata'!$B$4,A131&lt;='Campaign Metadata'!$C$4), "Apple Watch Ultra 2 Launch", IF(AND(A131&gt;='Campaign Metadata'!$B$5,A131&lt;='Campaign Metadata'!$C$5), "Sustainability Awareness Drive", IF(AND(A131&gt;='Campaign Metadata'!$B$6,A131&lt;='Campaign Metadata'!$C$6), "Apple Event September 2025", "No Campaign")))))</f>
        <v>No Campaign</v>
      </c>
    </row>
    <row r="132" spans="1:8" x14ac:dyDescent="0.3">
      <c r="A132" s="5">
        <v>45670</v>
      </c>
      <c r="B132" s="21" t="s">
        <v>31</v>
      </c>
      <c r="C132" s="22">
        <v>8088</v>
      </c>
      <c r="D132" s="22">
        <v>742</v>
      </c>
      <c r="E132" s="22">
        <v>817407</v>
      </c>
      <c r="F132">
        <v>14.664542877660701</v>
      </c>
      <c r="G132">
        <v>39312</v>
      </c>
      <c r="H132" t="str">
        <f>IF(AND(A132&gt;='Campaign Metadata'!$B$2,A132&lt;='Campaign Metadata'!$C$2),"iPhone 16 Launch", IF(AND(A132&gt;='Campaign Metadata'!$B$3,A132&lt;='Campaign Metadata'!$C$3), "MacBook Air M3 Campaign", IF(AND(A132&gt;='Campaign Metadata'!$B$4,A132&lt;='Campaign Metadata'!$C$4), "Apple Watch Ultra 2 Launch", IF(AND(A132&gt;='Campaign Metadata'!$B$5,A132&lt;='Campaign Metadata'!$C$5), "Sustainability Awareness Drive", IF(AND(A132&gt;='Campaign Metadata'!$B$6,A132&lt;='Campaign Metadata'!$C$6), "Apple Event September 2025", "No Campaign")))))</f>
        <v>No Campaign</v>
      </c>
    </row>
    <row r="133" spans="1:8" x14ac:dyDescent="0.3">
      <c r="A133" s="5">
        <v>45670</v>
      </c>
      <c r="B133" s="21" t="s">
        <v>32</v>
      </c>
      <c r="C133" s="22">
        <v>1078</v>
      </c>
      <c r="D133" s="22">
        <v>77</v>
      </c>
      <c r="E133" s="22">
        <v>818408</v>
      </c>
      <c r="F133">
        <v>18.236747441373989</v>
      </c>
      <c r="G133">
        <v>12839</v>
      </c>
      <c r="H133" t="str">
        <f>IF(AND(A133&gt;='Campaign Metadata'!$B$2,A133&lt;='Campaign Metadata'!$C$2),"iPhone 16 Launch", IF(AND(A133&gt;='Campaign Metadata'!$B$3,A133&lt;='Campaign Metadata'!$C$3), "MacBook Air M3 Campaign", IF(AND(A133&gt;='Campaign Metadata'!$B$4,A133&lt;='Campaign Metadata'!$C$4), "Apple Watch Ultra 2 Launch", IF(AND(A133&gt;='Campaign Metadata'!$B$5,A133&lt;='Campaign Metadata'!$C$5), "Sustainability Awareness Drive", IF(AND(A133&gt;='Campaign Metadata'!$B$6,A133&lt;='Campaign Metadata'!$C$6), "Apple Event September 2025", "No Campaign")))))</f>
        <v>No Campaign</v>
      </c>
    </row>
    <row r="134" spans="1:8" x14ac:dyDescent="0.3">
      <c r="A134" s="5">
        <v>45677</v>
      </c>
      <c r="B134" s="21" t="s">
        <v>31</v>
      </c>
      <c r="C134" s="22">
        <v>9080</v>
      </c>
      <c r="D134" s="22">
        <v>562</v>
      </c>
      <c r="E134" s="22">
        <v>826926</v>
      </c>
      <c r="F134">
        <v>7.1083748727213809</v>
      </c>
      <c r="G134">
        <v>13384</v>
      </c>
      <c r="H134" t="str">
        <f>IF(AND(A134&gt;='Campaign Metadata'!$B$2,A134&lt;='Campaign Metadata'!$C$2),"iPhone 16 Launch", IF(AND(A134&gt;='Campaign Metadata'!$B$3,A134&lt;='Campaign Metadata'!$C$3), "MacBook Air M3 Campaign", IF(AND(A134&gt;='Campaign Metadata'!$B$4,A134&lt;='Campaign Metadata'!$C$4), "Apple Watch Ultra 2 Launch", IF(AND(A134&gt;='Campaign Metadata'!$B$5,A134&lt;='Campaign Metadata'!$C$5), "Sustainability Awareness Drive", IF(AND(A134&gt;='Campaign Metadata'!$B$6,A134&lt;='Campaign Metadata'!$C$6), "Apple Event September 2025", "No Campaign")))))</f>
        <v>No Campaign</v>
      </c>
    </row>
    <row r="135" spans="1:8" x14ac:dyDescent="0.3">
      <c r="A135" s="5">
        <v>45677</v>
      </c>
      <c r="B135" s="21" t="s">
        <v>31</v>
      </c>
      <c r="C135" s="22">
        <v>8099</v>
      </c>
      <c r="D135" s="22">
        <v>678</v>
      </c>
      <c r="E135" s="22">
        <v>834347</v>
      </c>
      <c r="F135">
        <v>7.6464588474579518</v>
      </c>
      <c r="G135">
        <v>53619</v>
      </c>
      <c r="H135" t="str">
        <f>IF(AND(A135&gt;='Campaign Metadata'!$B$2,A135&lt;='Campaign Metadata'!$C$2),"iPhone 16 Launch", IF(AND(A135&gt;='Campaign Metadata'!$B$3,A135&lt;='Campaign Metadata'!$C$3), "MacBook Air M3 Campaign", IF(AND(A135&gt;='Campaign Metadata'!$B$4,A135&lt;='Campaign Metadata'!$C$4), "Apple Watch Ultra 2 Launch", IF(AND(A135&gt;='Campaign Metadata'!$B$5,A135&lt;='Campaign Metadata'!$C$5), "Sustainability Awareness Drive", IF(AND(A135&gt;='Campaign Metadata'!$B$6,A135&lt;='Campaign Metadata'!$C$6), "Apple Event September 2025", "No Campaign")))))</f>
        <v>No Campaign</v>
      </c>
    </row>
    <row r="136" spans="1:8" x14ac:dyDescent="0.3">
      <c r="A136" s="5">
        <v>45677</v>
      </c>
      <c r="B136" s="21" t="s">
        <v>31</v>
      </c>
      <c r="C136" s="22">
        <v>4926</v>
      </c>
      <c r="D136" s="22">
        <v>710</v>
      </c>
      <c r="E136" s="22">
        <v>838563</v>
      </c>
      <c r="F136">
        <v>12.96217457722318</v>
      </c>
      <c r="G136">
        <v>52821</v>
      </c>
      <c r="H136" t="str">
        <f>IF(AND(A136&gt;='Campaign Metadata'!$B$2,A136&lt;='Campaign Metadata'!$C$2),"iPhone 16 Launch", IF(AND(A136&gt;='Campaign Metadata'!$B$3,A136&lt;='Campaign Metadata'!$C$3), "MacBook Air M3 Campaign", IF(AND(A136&gt;='Campaign Metadata'!$B$4,A136&lt;='Campaign Metadata'!$C$4), "Apple Watch Ultra 2 Launch", IF(AND(A136&gt;='Campaign Metadata'!$B$5,A136&lt;='Campaign Metadata'!$C$5), "Sustainability Awareness Drive", IF(AND(A136&gt;='Campaign Metadata'!$B$6,A136&lt;='Campaign Metadata'!$C$6), "Apple Event September 2025", "No Campaign")))))</f>
        <v>No Campaign</v>
      </c>
    </row>
    <row r="137" spans="1:8" x14ac:dyDescent="0.3">
      <c r="A137" s="5">
        <v>45677</v>
      </c>
      <c r="B137" s="21" t="s">
        <v>32</v>
      </c>
      <c r="C137" s="22">
        <v>8340</v>
      </c>
      <c r="D137" s="22">
        <v>686</v>
      </c>
      <c r="E137" s="22">
        <v>846217</v>
      </c>
      <c r="F137">
        <v>7.201344336027284</v>
      </c>
      <c r="G137">
        <v>23493</v>
      </c>
      <c r="H137" t="str">
        <f>IF(AND(A137&gt;='Campaign Metadata'!$B$2,A137&lt;='Campaign Metadata'!$C$2),"iPhone 16 Launch", IF(AND(A137&gt;='Campaign Metadata'!$B$3,A137&lt;='Campaign Metadata'!$C$3), "MacBook Air M3 Campaign", IF(AND(A137&gt;='Campaign Metadata'!$B$4,A137&lt;='Campaign Metadata'!$C$4), "Apple Watch Ultra 2 Launch", IF(AND(A137&gt;='Campaign Metadata'!$B$5,A137&lt;='Campaign Metadata'!$C$5), "Sustainability Awareness Drive", IF(AND(A137&gt;='Campaign Metadata'!$B$6,A137&lt;='Campaign Metadata'!$C$6), "Apple Event September 2025", "No Campaign")))))</f>
        <v>No Campaign</v>
      </c>
    </row>
    <row r="138" spans="1:8" x14ac:dyDescent="0.3">
      <c r="A138" s="5">
        <v>45684</v>
      </c>
      <c r="B138" s="21" t="s">
        <v>30</v>
      </c>
      <c r="C138" s="22">
        <v>8083</v>
      </c>
      <c r="D138" s="22">
        <v>823</v>
      </c>
      <c r="E138" s="22">
        <v>853477</v>
      </c>
      <c r="F138">
        <v>4.6300017457998282</v>
      </c>
      <c r="G138">
        <v>27069</v>
      </c>
      <c r="H138" t="str">
        <f>IF(AND(A138&gt;='Campaign Metadata'!$B$2,A138&lt;='Campaign Metadata'!$C$2),"iPhone 16 Launch", IF(AND(A138&gt;='Campaign Metadata'!$B$3,A138&lt;='Campaign Metadata'!$C$3), "MacBook Air M3 Campaign", IF(AND(A138&gt;='Campaign Metadata'!$B$4,A138&lt;='Campaign Metadata'!$C$4), "Apple Watch Ultra 2 Launch", IF(AND(A138&gt;='Campaign Metadata'!$B$5,A138&lt;='Campaign Metadata'!$C$5), "Sustainability Awareness Drive", IF(AND(A138&gt;='Campaign Metadata'!$B$6,A138&lt;='Campaign Metadata'!$C$6), "Apple Event September 2025", "No Campaign")))))</f>
        <v>No Campaign</v>
      </c>
    </row>
    <row r="139" spans="1:8" x14ac:dyDescent="0.3">
      <c r="A139" s="5">
        <v>45684</v>
      </c>
      <c r="B139" s="21" t="s">
        <v>31</v>
      </c>
      <c r="C139" s="22">
        <v>7230</v>
      </c>
      <c r="D139" s="22">
        <v>869</v>
      </c>
      <c r="E139" s="22">
        <v>859838</v>
      </c>
      <c r="F139">
        <v>7.0117859410726204</v>
      </c>
      <c r="G139">
        <v>56907</v>
      </c>
      <c r="H139" t="str">
        <f>IF(AND(A139&gt;='Campaign Metadata'!$B$2,A139&lt;='Campaign Metadata'!$C$2),"iPhone 16 Launch", IF(AND(A139&gt;='Campaign Metadata'!$B$3,A139&lt;='Campaign Metadata'!$C$3), "MacBook Air M3 Campaign", IF(AND(A139&gt;='Campaign Metadata'!$B$4,A139&lt;='Campaign Metadata'!$C$4), "Apple Watch Ultra 2 Launch", IF(AND(A139&gt;='Campaign Metadata'!$B$5,A139&lt;='Campaign Metadata'!$C$5), "Sustainability Awareness Drive", IF(AND(A139&gt;='Campaign Metadata'!$B$6,A139&lt;='Campaign Metadata'!$C$6), "Apple Event September 2025", "No Campaign")))))</f>
        <v>No Campaign</v>
      </c>
    </row>
    <row r="140" spans="1:8" x14ac:dyDescent="0.3">
      <c r="A140" s="5">
        <v>45684</v>
      </c>
      <c r="B140" s="21" t="s">
        <v>31</v>
      </c>
      <c r="C140" s="22">
        <v>5940</v>
      </c>
      <c r="D140" s="22">
        <v>512</v>
      </c>
      <c r="E140" s="22">
        <v>865266</v>
      </c>
      <c r="F140">
        <v>15.7972230504839</v>
      </c>
      <c r="G140">
        <v>17531</v>
      </c>
      <c r="H140" t="str">
        <f>IF(AND(A140&gt;='Campaign Metadata'!$B$2,A140&lt;='Campaign Metadata'!$C$2),"iPhone 16 Launch", IF(AND(A140&gt;='Campaign Metadata'!$B$3,A140&lt;='Campaign Metadata'!$C$3), "MacBook Air M3 Campaign", IF(AND(A140&gt;='Campaign Metadata'!$B$4,A140&lt;='Campaign Metadata'!$C$4), "Apple Watch Ultra 2 Launch", IF(AND(A140&gt;='Campaign Metadata'!$B$5,A140&lt;='Campaign Metadata'!$C$5), "Sustainability Awareness Drive", IF(AND(A140&gt;='Campaign Metadata'!$B$6,A140&lt;='Campaign Metadata'!$C$6), "Apple Event September 2025", "No Campaign")))))</f>
        <v>No Campaign</v>
      </c>
    </row>
    <row r="141" spans="1:8" x14ac:dyDescent="0.3">
      <c r="A141" s="5">
        <v>45684</v>
      </c>
      <c r="B141" s="21" t="s">
        <v>29</v>
      </c>
      <c r="C141" s="22">
        <v>4271</v>
      </c>
      <c r="D141" s="22">
        <v>628</v>
      </c>
      <c r="E141" s="22">
        <v>868909</v>
      </c>
      <c r="F141">
        <v>11.124410036033691</v>
      </c>
      <c r="G141">
        <v>47051</v>
      </c>
      <c r="H141" t="str">
        <f>IF(AND(A141&gt;='Campaign Metadata'!$B$2,A141&lt;='Campaign Metadata'!$C$2),"iPhone 16 Launch", IF(AND(A141&gt;='Campaign Metadata'!$B$3,A141&lt;='Campaign Metadata'!$C$3), "MacBook Air M3 Campaign", IF(AND(A141&gt;='Campaign Metadata'!$B$4,A141&lt;='Campaign Metadata'!$C$4), "Apple Watch Ultra 2 Launch", IF(AND(A141&gt;='Campaign Metadata'!$B$5,A141&lt;='Campaign Metadata'!$C$5), "Sustainability Awareness Drive", IF(AND(A141&gt;='Campaign Metadata'!$B$6,A141&lt;='Campaign Metadata'!$C$6), "Apple Event September 2025", "No Campaign")))))</f>
        <v>No Campaign</v>
      </c>
    </row>
    <row r="142" spans="1:8" x14ac:dyDescent="0.3">
      <c r="A142" s="5">
        <v>45691</v>
      </c>
      <c r="B142" s="21" t="s">
        <v>32</v>
      </c>
      <c r="C142" s="22">
        <v>4456</v>
      </c>
      <c r="D142" s="22">
        <v>651</v>
      </c>
      <c r="E142" s="22">
        <v>872714</v>
      </c>
      <c r="F142">
        <v>9.5052903929580594</v>
      </c>
      <c r="G142">
        <v>17736</v>
      </c>
      <c r="H142" t="str">
        <f>IF(AND(A142&gt;='Campaign Metadata'!$B$2,A142&lt;='Campaign Metadata'!$C$2),"iPhone 16 Launch", IF(AND(A142&gt;='Campaign Metadata'!$B$3,A142&lt;='Campaign Metadata'!$C$3), "MacBook Air M3 Campaign", IF(AND(A142&gt;='Campaign Metadata'!$B$4,A142&lt;='Campaign Metadata'!$C$4), "Apple Watch Ultra 2 Launch", IF(AND(A142&gt;='Campaign Metadata'!$B$5,A142&lt;='Campaign Metadata'!$C$5), "Sustainability Awareness Drive", IF(AND(A142&gt;='Campaign Metadata'!$B$6,A142&lt;='Campaign Metadata'!$C$6), "Apple Event September 2025", "No Campaign")))))</f>
        <v>No Campaign</v>
      </c>
    </row>
    <row r="143" spans="1:8" x14ac:dyDescent="0.3">
      <c r="A143" s="5">
        <v>45691</v>
      </c>
      <c r="B143" s="21" t="s">
        <v>31</v>
      </c>
      <c r="C143" s="22">
        <v>8788</v>
      </c>
      <c r="D143" s="22">
        <v>660</v>
      </c>
      <c r="E143" s="22">
        <v>880842</v>
      </c>
      <c r="F143">
        <v>3.7175793161543158</v>
      </c>
      <c r="G143">
        <v>17710</v>
      </c>
      <c r="H143" t="str">
        <f>IF(AND(A143&gt;='Campaign Metadata'!$B$2,A143&lt;='Campaign Metadata'!$C$2),"iPhone 16 Launch", IF(AND(A143&gt;='Campaign Metadata'!$B$3,A143&lt;='Campaign Metadata'!$C$3), "MacBook Air M3 Campaign", IF(AND(A143&gt;='Campaign Metadata'!$B$4,A143&lt;='Campaign Metadata'!$C$4), "Apple Watch Ultra 2 Launch", IF(AND(A143&gt;='Campaign Metadata'!$B$5,A143&lt;='Campaign Metadata'!$C$5), "Sustainability Awareness Drive", IF(AND(A143&gt;='Campaign Metadata'!$B$6,A143&lt;='Campaign Metadata'!$C$6), "Apple Event September 2025", "No Campaign")))))</f>
        <v>No Campaign</v>
      </c>
    </row>
    <row r="144" spans="1:8" x14ac:dyDescent="0.3">
      <c r="A144" s="5">
        <v>45691</v>
      </c>
      <c r="B144" s="21" t="s">
        <v>32</v>
      </c>
      <c r="C144" s="22">
        <v>9599</v>
      </c>
      <c r="D144" s="22">
        <v>957</v>
      </c>
      <c r="E144" s="22">
        <v>889484</v>
      </c>
      <c r="F144">
        <v>8.768004820772493</v>
      </c>
      <c r="G144">
        <v>11619</v>
      </c>
      <c r="H144" t="str">
        <f>IF(AND(A144&gt;='Campaign Metadata'!$B$2,A144&lt;='Campaign Metadata'!$C$2),"iPhone 16 Launch", IF(AND(A144&gt;='Campaign Metadata'!$B$3,A144&lt;='Campaign Metadata'!$C$3), "MacBook Air M3 Campaign", IF(AND(A144&gt;='Campaign Metadata'!$B$4,A144&lt;='Campaign Metadata'!$C$4), "Apple Watch Ultra 2 Launch", IF(AND(A144&gt;='Campaign Metadata'!$B$5,A144&lt;='Campaign Metadata'!$C$5), "Sustainability Awareness Drive", IF(AND(A144&gt;='Campaign Metadata'!$B$6,A144&lt;='Campaign Metadata'!$C$6), "Apple Event September 2025", "No Campaign")))))</f>
        <v>No Campaign</v>
      </c>
    </row>
    <row r="145" spans="1:8" x14ac:dyDescent="0.3">
      <c r="A145" s="5">
        <v>45691</v>
      </c>
      <c r="B145" s="21" t="s">
        <v>31</v>
      </c>
      <c r="C145" s="22">
        <v>8650</v>
      </c>
      <c r="D145" s="22">
        <v>692</v>
      </c>
      <c r="E145" s="22">
        <v>897442</v>
      </c>
      <c r="F145">
        <v>7.6673478620345374</v>
      </c>
      <c r="G145">
        <v>23975</v>
      </c>
      <c r="H145" t="str">
        <f>IF(AND(A145&gt;='Campaign Metadata'!$B$2,A145&lt;='Campaign Metadata'!$C$2),"iPhone 16 Launch", IF(AND(A145&gt;='Campaign Metadata'!$B$3,A145&lt;='Campaign Metadata'!$C$3), "MacBook Air M3 Campaign", IF(AND(A145&gt;='Campaign Metadata'!$B$4,A145&lt;='Campaign Metadata'!$C$4), "Apple Watch Ultra 2 Launch", IF(AND(A145&gt;='Campaign Metadata'!$B$5,A145&lt;='Campaign Metadata'!$C$5), "Sustainability Awareness Drive", IF(AND(A145&gt;='Campaign Metadata'!$B$6,A145&lt;='Campaign Metadata'!$C$6), "Apple Event September 2025", "No Campaign")))))</f>
        <v>No Campaign</v>
      </c>
    </row>
    <row r="146" spans="1:8" x14ac:dyDescent="0.3">
      <c r="A146" s="5">
        <v>45698</v>
      </c>
      <c r="B146" s="21" t="s">
        <v>30</v>
      </c>
      <c r="C146" s="22">
        <v>3711</v>
      </c>
      <c r="D146" s="22">
        <v>291</v>
      </c>
      <c r="E146" s="22">
        <v>900862</v>
      </c>
      <c r="F146">
        <v>14.24879726306582</v>
      </c>
      <c r="G146">
        <v>55603</v>
      </c>
      <c r="H146" t="str">
        <f>IF(AND(A146&gt;='Campaign Metadata'!$B$2,A146&lt;='Campaign Metadata'!$C$2),"iPhone 16 Launch", IF(AND(A146&gt;='Campaign Metadata'!$B$3,A146&lt;='Campaign Metadata'!$C$3), "MacBook Air M3 Campaign", IF(AND(A146&gt;='Campaign Metadata'!$B$4,A146&lt;='Campaign Metadata'!$C$4), "Apple Watch Ultra 2 Launch", IF(AND(A146&gt;='Campaign Metadata'!$B$5,A146&lt;='Campaign Metadata'!$C$5), "Sustainability Awareness Drive", IF(AND(A146&gt;='Campaign Metadata'!$B$6,A146&lt;='Campaign Metadata'!$C$6), "Apple Event September 2025", "No Campaign")))))</f>
        <v>No Campaign</v>
      </c>
    </row>
    <row r="147" spans="1:8" x14ac:dyDescent="0.3">
      <c r="A147" s="5">
        <v>45698</v>
      </c>
      <c r="B147" s="21" t="s">
        <v>30</v>
      </c>
      <c r="C147" s="22">
        <v>2668</v>
      </c>
      <c r="D147" s="22">
        <v>143</v>
      </c>
      <c r="E147" s="22">
        <v>903387</v>
      </c>
      <c r="F147">
        <v>15.903372530266649</v>
      </c>
      <c r="G147">
        <v>33252</v>
      </c>
      <c r="H147" t="str">
        <f>IF(AND(A147&gt;='Campaign Metadata'!$B$2,A147&lt;='Campaign Metadata'!$C$2),"iPhone 16 Launch", IF(AND(A147&gt;='Campaign Metadata'!$B$3,A147&lt;='Campaign Metadata'!$C$3), "MacBook Air M3 Campaign", IF(AND(A147&gt;='Campaign Metadata'!$B$4,A147&lt;='Campaign Metadata'!$C$4), "Apple Watch Ultra 2 Launch", IF(AND(A147&gt;='Campaign Metadata'!$B$5,A147&lt;='Campaign Metadata'!$C$5), "Sustainability Awareness Drive", IF(AND(A147&gt;='Campaign Metadata'!$B$6,A147&lt;='Campaign Metadata'!$C$6), "Apple Event September 2025", "No Campaign")))))</f>
        <v>No Campaign</v>
      </c>
    </row>
    <row r="148" spans="1:8" x14ac:dyDescent="0.3">
      <c r="A148" s="5">
        <v>45698</v>
      </c>
      <c r="B148" s="21" t="s">
        <v>31</v>
      </c>
      <c r="C148" s="22">
        <v>1147</v>
      </c>
      <c r="D148" s="22">
        <v>127</v>
      </c>
      <c r="E148" s="22">
        <v>904407</v>
      </c>
      <c r="F148">
        <v>1.3997016829812241</v>
      </c>
      <c r="G148">
        <v>25261</v>
      </c>
      <c r="H148" t="str">
        <f>IF(AND(A148&gt;='Campaign Metadata'!$B$2,A148&lt;='Campaign Metadata'!$C$2),"iPhone 16 Launch", IF(AND(A148&gt;='Campaign Metadata'!$B$3,A148&lt;='Campaign Metadata'!$C$3), "MacBook Air M3 Campaign", IF(AND(A148&gt;='Campaign Metadata'!$B$4,A148&lt;='Campaign Metadata'!$C$4), "Apple Watch Ultra 2 Launch", IF(AND(A148&gt;='Campaign Metadata'!$B$5,A148&lt;='Campaign Metadata'!$C$5), "Sustainability Awareness Drive", IF(AND(A148&gt;='Campaign Metadata'!$B$6,A148&lt;='Campaign Metadata'!$C$6), "Apple Event September 2025", "No Campaign")))))</f>
        <v>No Campaign</v>
      </c>
    </row>
    <row r="149" spans="1:8" x14ac:dyDescent="0.3">
      <c r="A149" s="5">
        <v>45698</v>
      </c>
      <c r="B149" s="21" t="s">
        <v>30</v>
      </c>
      <c r="C149" s="22">
        <v>7420</v>
      </c>
      <c r="D149" s="22">
        <v>743</v>
      </c>
      <c r="E149" s="22">
        <v>911084</v>
      </c>
      <c r="F149">
        <v>10.593534734448189</v>
      </c>
      <c r="G149">
        <v>11431</v>
      </c>
      <c r="H149" t="str">
        <f>IF(AND(A149&gt;='Campaign Metadata'!$B$2,A149&lt;='Campaign Metadata'!$C$2),"iPhone 16 Launch", IF(AND(A149&gt;='Campaign Metadata'!$B$3,A149&lt;='Campaign Metadata'!$C$3), "MacBook Air M3 Campaign", IF(AND(A149&gt;='Campaign Metadata'!$B$4,A149&lt;='Campaign Metadata'!$C$4), "Apple Watch Ultra 2 Launch", IF(AND(A149&gt;='Campaign Metadata'!$B$5,A149&lt;='Campaign Metadata'!$C$5), "Sustainability Awareness Drive", IF(AND(A149&gt;='Campaign Metadata'!$B$6,A149&lt;='Campaign Metadata'!$C$6), "Apple Event September 2025", "No Campaign")))))</f>
        <v>No Campaign</v>
      </c>
    </row>
    <row r="150" spans="1:8" x14ac:dyDescent="0.3">
      <c r="A150" s="5">
        <v>45705</v>
      </c>
      <c r="B150" s="21" t="s">
        <v>31</v>
      </c>
      <c r="C150" s="22">
        <v>1365</v>
      </c>
      <c r="D150" s="22">
        <v>75</v>
      </c>
      <c r="E150" s="22">
        <v>912374</v>
      </c>
      <c r="F150">
        <v>9.2688963078737441</v>
      </c>
      <c r="G150">
        <v>19067</v>
      </c>
      <c r="H150" t="str">
        <f>IF(AND(A150&gt;='Campaign Metadata'!$B$2,A150&lt;='Campaign Metadata'!$C$2),"iPhone 16 Launch", IF(AND(A150&gt;='Campaign Metadata'!$B$3,A150&lt;='Campaign Metadata'!$C$3), "MacBook Air M3 Campaign", IF(AND(A150&gt;='Campaign Metadata'!$B$4,A150&lt;='Campaign Metadata'!$C$4), "Apple Watch Ultra 2 Launch", IF(AND(A150&gt;='Campaign Metadata'!$B$5,A150&lt;='Campaign Metadata'!$C$5), "Sustainability Awareness Drive", IF(AND(A150&gt;='Campaign Metadata'!$B$6,A150&lt;='Campaign Metadata'!$C$6), "Apple Event September 2025", "No Campaign")))))</f>
        <v>No Campaign</v>
      </c>
    </row>
    <row r="151" spans="1:8" x14ac:dyDescent="0.3">
      <c r="A151" s="5">
        <v>45705</v>
      </c>
      <c r="B151" s="21" t="s">
        <v>30</v>
      </c>
      <c r="C151" s="22">
        <v>5531</v>
      </c>
      <c r="D151" s="22">
        <v>430</v>
      </c>
      <c r="E151" s="22">
        <v>917475</v>
      </c>
      <c r="F151">
        <v>2.7289026948963189</v>
      </c>
      <c r="G151">
        <v>47481</v>
      </c>
      <c r="H151" t="str">
        <f>IF(AND(A151&gt;='Campaign Metadata'!$B$2,A151&lt;='Campaign Metadata'!$C$2),"iPhone 16 Launch", IF(AND(A151&gt;='Campaign Metadata'!$B$3,A151&lt;='Campaign Metadata'!$C$3), "MacBook Air M3 Campaign", IF(AND(A151&gt;='Campaign Metadata'!$B$4,A151&lt;='Campaign Metadata'!$C$4), "Apple Watch Ultra 2 Launch", IF(AND(A151&gt;='Campaign Metadata'!$B$5,A151&lt;='Campaign Metadata'!$C$5), "Sustainability Awareness Drive", IF(AND(A151&gt;='Campaign Metadata'!$B$6,A151&lt;='Campaign Metadata'!$C$6), "Apple Event September 2025", "No Campaign")))))</f>
        <v>No Campaign</v>
      </c>
    </row>
    <row r="152" spans="1:8" x14ac:dyDescent="0.3">
      <c r="A152" s="5">
        <v>45705</v>
      </c>
      <c r="B152" s="21" t="s">
        <v>29</v>
      </c>
      <c r="C152" s="22">
        <v>6330</v>
      </c>
      <c r="D152" s="22">
        <v>891</v>
      </c>
      <c r="E152" s="22">
        <v>922914</v>
      </c>
      <c r="F152">
        <v>14.789893749580139</v>
      </c>
      <c r="G152">
        <v>37037</v>
      </c>
      <c r="H152" t="str">
        <f>IF(AND(A152&gt;='Campaign Metadata'!$B$2,A152&lt;='Campaign Metadata'!$C$2),"iPhone 16 Launch", IF(AND(A152&gt;='Campaign Metadata'!$B$3,A152&lt;='Campaign Metadata'!$C$3), "MacBook Air M3 Campaign", IF(AND(A152&gt;='Campaign Metadata'!$B$4,A152&lt;='Campaign Metadata'!$C$4), "Apple Watch Ultra 2 Launch", IF(AND(A152&gt;='Campaign Metadata'!$B$5,A152&lt;='Campaign Metadata'!$C$5), "Sustainability Awareness Drive", IF(AND(A152&gt;='Campaign Metadata'!$B$6,A152&lt;='Campaign Metadata'!$C$6), "Apple Event September 2025", "No Campaign")))))</f>
        <v>No Campaign</v>
      </c>
    </row>
    <row r="153" spans="1:8" x14ac:dyDescent="0.3">
      <c r="A153" s="5">
        <v>45705</v>
      </c>
      <c r="B153" s="21" t="s">
        <v>29</v>
      </c>
      <c r="C153" s="22">
        <v>6510</v>
      </c>
      <c r="D153" s="22">
        <v>481</v>
      </c>
      <c r="E153" s="22">
        <v>928943</v>
      </c>
      <c r="F153">
        <v>2.3800168578696428</v>
      </c>
      <c r="G153">
        <v>19557</v>
      </c>
      <c r="H153" t="str">
        <f>IF(AND(A153&gt;='Campaign Metadata'!$B$2,A153&lt;='Campaign Metadata'!$C$2),"iPhone 16 Launch", IF(AND(A153&gt;='Campaign Metadata'!$B$3,A153&lt;='Campaign Metadata'!$C$3), "MacBook Air M3 Campaign", IF(AND(A153&gt;='Campaign Metadata'!$B$4,A153&lt;='Campaign Metadata'!$C$4), "Apple Watch Ultra 2 Launch", IF(AND(A153&gt;='Campaign Metadata'!$B$5,A153&lt;='Campaign Metadata'!$C$5), "Sustainability Awareness Drive", IF(AND(A153&gt;='Campaign Metadata'!$B$6,A153&lt;='Campaign Metadata'!$C$6), "Apple Event September 2025", "No Campaign")))))</f>
        <v>No Campaign</v>
      </c>
    </row>
    <row r="154" spans="1:8" x14ac:dyDescent="0.3">
      <c r="A154" s="5">
        <v>45712</v>
      </c>
      <c r="B154" s="21" t="s">
        <v>29</v>
      </c>
      <c r="C154" s="22">
        <v>9754</v>
      </c>
      <c r="D154" s="22">
        <v>629</v>
      </c>
      <c r="E154" s="22">
        <v>938068</v>
      </c>
      <c r="F154">
        <v>3.4123325814333292</v>
      </c>
      <c r="G154">
        <v>19435</v>
      </c>
      <c r="H154" t="str">
        <f>IF(AND(A154&gt;='Campaign Metadata'!$B$2,A154&lt;='Campaign Metadata'!$C$2),"iPhone 16 Launch", IF(AND(A154&gt;='Campaign Metadata'!$B$3,A154&lt;='Campaign Metadata'!$C$3), "MacBook Air M3 Campaign", IF(AND(A154&gt;='Campaign Metadata'!$B$4,A154&lt;='Campaign Metadata'!$C$4), "Apple Watch Ultra 2 Launch", IF(AND(A154&gt;='Campaign Metadata'!$B$5,A154&lt;='Campaign Metadata'!$C$5), "Sustainability Awareness Drive", IF(AND(A154&gt;='Campaign Metadata'!$B$6,A154&lt;='Campaign Metadata'!$C$6), "Apple Event September 2025", "No Campaign")))))</f>
        <v>No Campaign</v>
      </c>
    </row>
    <row r="155" spans="1:8" x14ac:dyDescent="0.3">
      <c r="A155" s="5">
        <v>45712</v>
      </c>
      <c r="B155" s="21" t="s">
        <v>32</v>
      </c>
      <c r="C155" s="22">
        <v>9964</v>
      </c>
      <c r="D155" s="22">
        <v>985</v>
      </c>
      <c r="E155" s="22">
        <v>947047</v>
      </c>
      <c r="F155">
        <v>1.9837452629066989</v>
      </c>
      <c r="G155">
        <v>47766</v>
      </c>
      <c r="H155" t="str">
        <f>IF(AND(A155&gt;='Campaign Metadata'!$B$2,A155&lt;='Campaign Metadata'!$C$2),"iPhone 16 Launch", IF(AND(A155&gt;='Campaign Metadata'!$B$3,A155&lt;='Campaign Metadata'!$C$3), "MacBook Air M3 Campaign", IF(AND(A155&gt;='Campaign Metadata'!$B$4,A155&lt;='Campaign Metadata'!$C$4), "Apple Watch Ultra 2 Launch", IF(AND(A155&gt;='Campaign Metadata'!$B$5,A155&lt;='Campaign Metadata'!$C$5), "Sustainability Awareness Drive", IF(AND(A155&gt;='Campaign Metadata'!$B$6,A155&lt;='Campaign Metadata'!$C$6), "Apple Event September 2025", "No Campaign")))))</f>
        <v>No Campaign</v>
      </c>
    </row>
    <row r="156" spans="1:8" x14ac:dyDescent="0.3">
      <c r="A156" s="5">
        <v>45712</v>
      </c>
      <c r="B156" s="21" t="s">
        <v>32</v>
      </c>
      <c r="C156" s="22">
        <v>7493</v>
      </c>
      <c r="D156" s="22">
        <v>1113</v>
      </c>
      <c r="E156" s="22">
        <v>953427</v>
      </c>
      <c r="F156">
        <v>15.684892498324469</v>
      </c>
      <c r="G156">
        <v>10162</v>
      </c>
      <c r="H156" t="str">
        <f>IF(AND(A156&gt;='Campaign Metadata'!$B$2,A156&lt;='Campaign Metadata'!$C$2),"iPhone 16 Launch", IF(AND(A156&gt;='Campaign Metadata'!$B$3,A156&lt;='Campaign Metadata'!$C$3), "MacBook Air M3 Campaign", IF(AND(A156&gt;='Campaign Metadata'!$B$4,A156&lt;='Campaign Metadata'!$C$4), "Apple Watch Ultra 2 Launch", IF(AND(A156&gt;='Campaign Metadata'!$B$5,A156&lt;='Campaign Metadata'!$C$5), "Sustainability Awareness Drive", IF(AND(A156&gt;='Campaign Metadata'!$B$6,A156&lt;='Campaign Metadata'!$C$6), "Apple Event September 2025", "No Campaign")))))</f>
        <v>No Campaign</v>
      </c>
    </row>
    <row r="157" spans="1:8" x14ac:dyDescent="0.3">
      <c r="A157" s="5">
        <v>45712</v>
      </c>
      <c r="B157" s="21" t="s">
        <v>29</v>
      </c>
      <c r="C157" s="22">
        <v>6439</v>
      </c>
      <c r="D157" s="22">
        <v>477</v>
      </c>
      <c r="E157" s="22">
        <v>959389</v>
      </c>
      <c r="F157">
        <v>7.4744446725989153</v>
      </c>
      <c r="G157">
        <v>44742</v>
      </c>
      <c r="H157" t="str">
        <f>IF(AND(A157&gt;='Campaign Metadata'!$B$2,A157&lt;='Campaign Metadata'!$C$2),"iPhone 16 Launch", IF(AND(A157&gt;='Campaign Metadata'!$B$3,A157&lt;='Campaign Metadata'!$C$3), "MacBook Air M3 Campaign", IF(AND(A157&gt;='Campaign Metadata'!$B$4,A157&lt;='Campaign Metadata'!$C$4), "Apple Watch Ultra 2 Launch", IF(AND(A157&gt;='Campaign Metadata'!$B$5,A157&lt;='Campaign Metadata'!$C$5), "Sustainability Awareness Drive", IF(AND(A157&gt;='Campaign Metadata'!$B$6,A157&lt;='Campaign Metadata'!$C$6), "Apple Event September 2025", "No Campaign")))))</f>
        <v>No Campaign</v>
      </c>
    </row>
    <row r="158" spans="1:8" x14ac:dyDescent="0.3">
      <c r="A158" s="5">
        <v>45719</v>
      </c>
      <c r="B158" s="21" t="s">
        <v>32</v>
      </c>
      <c r="C158" s="22">
        <v>7511</v>
      </c>
      <c r="D158" s="22">
        <v>880</v>
      </c>
      <c r="E158" s="22">
        <v>966020</v>
      </c>
      <c r="F158">
        <v>4.6083932009689246</v>
      </c>
      <c r="G158">
        <v>29675</v>
      </c>
      <c r="H158" t="str">
        <f>IF(AND(A158&gt;='Campaign Metadata'!$B$2,A158&lt;='Campaign Metadata'!$C$2),"iPhone 16 Launch", IF(AND(A158&gt;='Campaign Metadata'!$B$3,A158&lt;='Campaign Metadata'!$C$3), "MacBook Air M3 Campaign", IF(AND(A158&gt;='Campaign Metadata'!$B$4,A158&lt;='Campaign Metadata'!$C$4), "Apple Watch Ultra 2 Launch", IF(AND(A158&gt;='Campaign Metadata'!$B$5,A158&lt;='Campaign Metadata'!$C$5), "Sustainability Awareness Drive", IF(AND(A158&gt;='Campaign Metadata'!$B$6,A158&lt;='Campaign Metadata'!$C$6), "Apple Event September 2025", "No Campaign")))))</f>
        <v>Sustainability Awareness Drive</v>
      </c>
    </row>
    <row r="159" spans="1:8" x14ac:dyDescent="0.3">
      <c r="A159" s="5">
        <v>45719</v>
      </c>
      <c r="B159" s="21" t="s">
        <v>30</v>
      </c>
      <c r="C159" s="22">
        <v>8504</v>
      </c>
      <c r="D159" s="22">
        <v>1072</v>
      </c>
      <c r="E159" s="22">
        <v>973452</v>
      </c>
      <c r="F159">
        <v>6.5651927367759271</v>
      </c>
      <c r="G159">
        <v>18461</v>
      </c>
      <c r="H159" t="str">
        <f>IF(AND(A159&gt;='Campaign Metadata'!$B$2,A159&lt;='Campaign Metadata'!$C$2),"iPhone 16 Launch", IF(AND(A159&gt;='Campaign Metadata'!$B$3,A159&lt;='Campaign Metadata'!$C$3), "MacBook Air M3 Campaign", IF(AND(A159&gt;='Campaign Metadata'!$B$4,A159&lt;='Campaign Metadata'!$C$4), "Apple Watch Ultra 2 Launch", IF(AND(A159&gt;='Campaign Metadata'!$B$5,A159&lt;='Campaign Metadata'!$C$5), "Sustainability Awareness Drive", IF(AND(A159&gt;='Campaign Metadata'!$B$6,A159&lt;='Campaign Metadata'!$C$6), "Apple Event September 2025", "No Campaign")))))</f>
        <v>Sustainability Awareness Drive</v>
      </c>
    </row>
    <row r="160" spans="1:8" x14ac:dyDescent="0.3">
      <c r="A160" s="5">
        <v>45719</v>
      </c>
      <c r="B160" s="21" t="s">
        <v>31</v>
      </c>
      <c r="C160" s="22">
        <v>2246</v>
      </c>
      <c r="D160" s="22">
        <v>165</v>
      </c>
      <c r="E160" s="22">
        <v>975533</v>
      </c>
      <c r="F160">
        <v>2.9062061457685191</v>
      </c>
      <c r="G160">
        <v>27015</v>
      </c>
      <c r="H160" t="str">
        <f>IF(AND(A160&gt;='Campaign Metadata'!$B$2,A160&lt;='Campaign Metadata'!$C$2),"iPhone 16 Launch", IF(AND(A160&gt;='Campaign Metadata'!$B$3,A160&lt;='Campaign Metadata'!$C$3), "MacBook Air M3 Campaign", IF(AND(A160&gt;='Campaign Metadata'!$B$4,A160&lt;='Campaign Metadata'!$C$4), "Apple Watch Ultra 2 Launch", IF(AND(A160&gt;='Campaign Metadata'!$B$5,A160&lt;='Campaign Metadata'!$C$5), "Sustainability Awareness Drive", IF(AND(A160&gt;='Campaign Metadata'!$B$6,A160&lt;='Campaign Metadata'!$C$6), "Apple Event September 2025", "No Campaign")))))</f>
        <v>Sustainability Awareness Drive</v>
      </c>
    </row>
    <row r="161" spans="1:8" x14ac:dyDescent="0.3">
      <c r="A161" s="5">
        <v>45719</v>
      </c>
      <c r="B161" s="21" t="s">
        <v>31</v>
      </c>
      <c r="C161" s="22">
        <v>4839</v>
      </c>
      <c r="D161" s="22">
        <v>594</v>
      </c>
      <c r="E161" s="22">
        <v>979778</v>
      </c>
      <c r="F161">
        <v>2.5803804535313102</v>
      </c>
      <c r="G161">
        <v>42591</v>
      </c>
      <c r="H161" t="str">
        <f>IF(AND(A161&gt;='Campaign Metadata'!$B$2,A161&lt;='Campaign Metadata'!$C$2),"iPhone 16 Launch", IF(AND(A161&gt;='Campaign Metadata'!$B$3,A161&lt;='Campaign Metadata'!$C$3), "MacBook Air M3 Campaign", IF(AND(A161&gt;='Campaign Metadata'!$B$4,A161&lt;='Campaign Metadata'!$C$4), "Apple Watch Ultra 2 Launch", IF(AND(A161&gt;='Campaign Metadata'!$B$5,A161&lt;='Campaign Metadata'!$C$5), "Sustainability Awareness Drive", IF(AND(A161&gt;='Campaign Metadata'!$B$6,A161&lt;='Campaign Metadata'!$C$6), "Apple Event September 2025", "No Campaign")))))</f>
        <v>Sustainability Awareness Drive</v>
      </c>
    </row>
    <row r="162" spans="1:8" x14ac:dyDescent="0.3">
      <c r="A162" s="5">
        <v>45726</v>
      </c>
      <c r="B162" s="21" t="s">
        <v>31</v>
      </c>
      <c r="C162" s="22">
        <v>9551</v>
      </c>
      <c r="D162" s="22">
        <v>828</v>
      </c>
      <c r="E162" s="22">
        <v>988501</v>
      </c>
      <c r="F162">
        <v>1.525036393488727</v>
      </c>
      <c r="G162">
        <v>38047</v>
      </c>
      <c r="H162" t="str">
        <f>IF(AND(A162&gt;='Campaign Metadata'!$B$2,A162&lt;='Campaign Metadata'!$C$2),"iPhone 16 Launch", IF(AND(A162&gt;='Campaign Metadata'!$B$3,A162&lt;='Campaign Metadata'!$C$3), "MacBook Air M3 Campaign", IF(AND(A162&gt;='Campaign Metadata'!$B$4,A162&lt;='Campaign Metadata'!$C$4), "Apple Watch Ultra 2 Launch", IF(AND(A162&gt;='Campaign Metadata'!$B$5,A162&lt;='Campaign Metadata'!$C$5), "Sustainability Awareness Drive", IF(AND(A162&gt;='Campaign Metadata'!$B$6,A162&lt;='Campaign Metadata'!$C$6), "Apple Event September 2025", "No Campaign")))))</f>
        <v>Sustainability Awareness Drive</v>
      </c>
    </row>
    <row r="163" spans="1:8" x14ac:dyDescent="0.3">
      <c r="A163" s="5">
        <v>45726</v>
      </c>
      <c r="B163" s="21" t="s">
        <v>29</v>
      </c>
      <c r="C163" s="22">
        <v>3376</v>
      </c>
      <c r="D163" s="22">
        <v>382</v>
      </c>
      <c r="E163" s="22">
        <v>991495</v>
      </c>
      <c r="F163">
        <v>3.8694093263203548</v>
      </c>
      <c r="G163">
        <v>44782</v>
      </c>
      <c r="H163" t="str">
        <f>IF(AND(A163&gt;='Campaign Metadata'!$B$2,A163&lt;='Campaign Metadata'!$C$2),"iPhone 16 Launch", IF(AND(A163&gt;='Campaign Metadata'!$B$3,A163&lt;='Campaign Metadata'!$C$3), "MacBook Air M3 Campaign", IF(AND(A163&gt;='Campaign Metadata'!$B$4,A163&lt;='Campaign Metadata'!$C$4), "Apple Watch Ultra 2 Launch", IF(AND(A163&gt;='Campaign Metadata'!$B$5,A163&lt;='Campaign Metadata'!$C$5), "Sustainability Awareness Drive", IF(AND(A163&gt;='Campaign Metadata'!$B$6,A163&lt;='Campaign Metadata'!$C$6), "Apple Event September 2025", "No Campaign")))))</f>
        <v>Sustainability Awareness Drive</v>
      </c>
    </row>
    <row r="164" spans="1:8" x14ac:dyDescent="0.3">
      <c r="A164" s="5">
        <v>45726</v>
      </c>
      <c r="B164" s="21" t="s">
        <v>32</v>
      </c>
      <c r="C164" s="22">
        <v>4009</v>
      </c>
      <c r="D164" s="22">
        <v>454</v>
      </c>
      <c r="E164" s="22">
        <v>995050</v>
      </c>
      <c r="F164">
        <v>2.1106477061454201</v>
      </c>
      <c r="G164">
        <v>19833</v>
      </c>
      <c r="H164" t="str">
        <f>IF(AND(A164&gt;='Campaign Metadata'!$B$2,A164&lt;='Campaign Metadata'!$C$2),"iPhone 16 Launch", IF(AND(A164&gt;='Campaign Metadata'!$B$3,A164&lt;='Campaign Metadata'!$C$3), "MacBook Air M3 Campaign", IF(AND(A164&gt;='Campaign Metadata'!$B$4,A164&lt;='Campaign Metadata'!$C$4), "Apple Watch Ultra 2 Launch", IF(AND(A164&gt;='Campaign Metadata'!$B$5,A164&lt;='Campaign Metadata'!$C$5), "Sustainability Awareness Drive", IF(AND(A164&gt;='Campaign Metadata'!$B$6,A164&lt;='Campaign Metadata'!$C$6), "Apple Event September 2025", "No Campaign")))))</f>
        <v>Sustainability Awareness Drive</v>
      </c>
    </row>
    <row r="165" spans="1:8" x14ac:dyDescent="0.3">
      <c r="A165" s="5">
        <v>45726</v>
      </c>
      <c r="B165" s="21" t="s">
        <v>30</v>
      </c>
      <c r="C165" s="22">
        <v>2827</v>
      </c>
      <c r="D165" s="22">
        <v>292</v>
      </c>
      <c r="E165" s="22">
        <v>997585</v>
      </c>
      <c r="F165">
        <v>2.4004972007397871</v>
      </c>
      <c r="G165">
        <v>17896</v>
      </c>
      <c r="H165" t="str">
        <f>IF(AND(A165&gt;='Campaign Metadata'!$B$2,A165&lt;='Campaign Metadata'!$C$2),"iPhone 16 Launch", IF(AND(A165&gt;='Campaign Metadata'!$B$3,A165&lt;='Campaign Metadata'!$C$3), "MacBook Air M3 Campaign", IF(AND(A165&gt;='Campaign Metadata'!$B$4,A165&lt;='Campaign Metadata'!$C$4), "Apple Watch Ultra 2 Launch", IF(AND(A165&gt;='Campaign Metadata'!$B$5,A165&lt;='Campaign Metadata'!$C$5), "Sustainability Awareness Drive", IF(AND(A165&gt;='Campaign Metadata'!$B$6,A165&lt;='Campaign Metadata'!$C$6), "Apple Event September 2025", "No Campaign")))))</f>
        <v>Sustainability Awareness Drive</v>
      </c>
    </row>
    <row r="166" spans="1:8" x14ac:dyDescent="0.3">
      <c r="A166" s="5">
        <v>45733</v>
      </c>
      <c r="B166" s="21" t="s">
        <v>30</v>
      </c>
      <c r="C166" s="22">
        <v>7979</v>
      </c>
      <c r="D166" s="22">
        <v>470</v>
      </c>
      <c r="E166" s="22">
        <v>1005094</v>
      </c>
      <c r="F166">
        <v>10.43086517280971</v>
      </c>
      <c r="G166">
        <v>42972</v>
      </c>
      <c r="H166" t="str">
        <f>IF(AND(A166&gt;='Campaign Metadata'!$B$2,A166&lt;='Campaign Metadata'!$C$2),"iPhone 16 Launch", IF(AND(A166&gt;='Campaign Metadata'!$B$3,A166&lt;='Campaign Metadata'!$C$3), "MacBook Air M3 Campaign", IF(AND(A166&gt;='Campaign Metadata'!$B$4,A166&lt;='Campaign Metadata'!$C$4), "Apple Watch Ultra 2 Launch", IF(AND(A166&gt;='Campaign Metadata'!$B$5,A166&lt;='Campaign Metadata'!$C$5), "Sustainability Awareness Drive", IF(AND(A166&gt;='Campaign Metadata'!$B$6,A166&lt;='Campaign Metadata'!$C$6), "Apple Event September 2025", "No Campaign")))))</f>
        <v>Sustainability Awareness Drive</v>
      </c>
    </row>
    <row r="167" spans="1:8" x14ac:dyDescent="0.3">
      <c r="A167" s="5">
        <v>45733</v>
      </c>
      <c r="B167" s="21" t="s">
        <v>29</v>
      </c>
      <c r="C167" s="22">
        <v>9569</v>
      </c>
      <c r="D167" s="22">
        <v>1277</v>
      </c>
      <c r="E167" s="22">
        <v>1013386</v>
      </c>
      <c r="F167">
        <v>12.45517502708741</v>
      </c>
      <c r="G167">
        <v>59733</v>
      </c>
      <c r="H167" t="str">
        <f>IF(AND(A167&gt;='Campaign Metadata'!$B$2,A167&lt;='Campaign Metadata'!$C$2),"iPhone 16 Launch", IF(AND(A167&gt;='Campaign Metadata'!$B$3,A167&lt;='Campaign Metadata'!$C$3), "MacBook Air M3 Campaign", IF(AND(A167&gt;='Campaign Metadata'!$B$4,A167&lt;='Campaign Metadata'!$C$4), "Apple Watch Ultra 2 Launch", IF(AND(A167&gt;='Campaign Metadata'!$B$5,A167&lt;='Campaign Metadata'!$C$5), "Sustainability Awareness Drive", IF(AND(A167&gt;='Campaign Metadata'!$B$6,A167&lt;='Campaign Metadata'!$C$6), "Apple Event September 2025", "No Campaign")))))</f>
        <v>Sustainability Awareness Drive</v>
      </c>
    </row>
    <row r="168" spans="1:8" x14ac:dyDescent="0.3">
      <c r="A168" s="5">
        <v>45733</v>
      </c>
      <c r="B168" s="21" t="s">
        <v>30</v>
      </c>
      <c r="C168" s="22">
        <v>5285</v>
      </c>
      <c r="D168" s="22">
        <v>433</v>
      </c>
      <c r="E168" s="22">
        <v>1018238</v>
      </c>
      <c r="F168">
        <v>8.7022876773406619</v>
      </c>
      <c r="G168">
        <v>51800</v>
      </c>
      <c r="H168" t="str">
        <f>IF(AND(A168&gt;='Campaign Metadata'!$B$2,A168&lt;='Campaign Metadata'!$C$2),"iPhone 16 Launch", IF(AND(A168&gt;='Campaign Metadata'!$B$3,A168&lt;='Campaign Metadata'!$C$3), "MacBook Air M3 Campaign", IF(AND(A168&gt;='Campaign Metadata'!$B$4,A168&lt;='Campaign Metadata'!$C$4), "Apple Watch Ultra 2 Launch", IF(AND(A168&gt;='Campaign Metadata'!$B$5,A168&lt;='Campaign Metadata'!$C$5), "Sustainability Awareness Drive", IF(AND(A168&gt;='Campaign Metadata'!$B$6,A168&lt;='Campaign Metadata'!$C$6), "Apple Event September 2025", "No Campaign")))))</f>
        <v>Sustainability Awareness Drive</v>
      </c>
    </row>
    <row r="169" spans="1:8" x14ac:dyDescent="0.3">
      <c r="A169" s="5">
        <v>45733</v>
      </c>
      <c r="B169" s="21" t="s">
        <v>30</v>
      </c>
      <c r="C169" s="22">
        <v>7910</v>
      </c>
      <c r="D169" s="22">
        <v>543</v>
      </c>
      <c r="E169" s="22">
        <v>1025605</v>
      </c>
      <c r="F169">
        <v>6.0590578244060822</v>
      </c>
      <c r="G169">
        <v>40508</v>
      </c>
      <c r="H169" t="str">
        <f>IF(AND(A169&gt;='Campaign Metadata'!$B$2,A169&lt;='Campaign Metadata'!$C$2),"iPhone 16 Launch", IF(AND(A169&gt;='Campaign Metadata'!$B$3,A169&lt;='Campaign Metadata'!$C$3), "MacBook Air M3 Campaign", IF(AND(A169&gt;='Campaign Metadata'!$B$4,A169&lt;='Campaign Metadata'!$C$4), "Apple Watch Ultra 2 Launch", IF(AND(A169&gt;='Campaign Metadata'!$B$5,A169&lt;='Campaign Metadata'!$C$5), "Sustainability Awareness Drive", IF(AND(A169&gt;='Campaign Metadata'!$B$6,A169&lt;='Campaign Metadata'!$C$6), "Apple Event September 2025", "No Campaign")))))</f>
        <v>Sustainability Awareness Drive</v>
      </c>
    </row>
    <row r="170" spans="1:8" x14ac:dyDescent="0.3">
      <c r="A170" s="5">
        <v>45740</v>
      </c>
      <c r="B170" s="21" t="s">
        <v>30</v>
      </c>
      <c r="C170" s="22">
        <v>9561</v>
      </c>
      <c r="D170" s="22">
        <v>517</v>
      </c>
      <c r="E170" s="22">
        <v>1034649</v>
      </c>
      <c r="F170">
        <v>6.4086467971263694</v>
      </c>
      <c r="G170">
        <v>15347</v>
      </c>
      <c r="H170" t="str">
        <f>IF(AND(A170&gt;='Campaign Metadata'!$B$2,A170&lt;='Campaign Metadata'!$C$2),"iPhone 16 Launch", IF(AND(A170&gt;='Campaign Metadata'!$B$3,A170&lt;='Campaign Metadata'!$C$3), "MacBook Air M3 Campaign", IF(AND(A170&gt;='Campaign Metadata'!$B$4,A170&lt;='Campaign Metadata'!$C$4), "Apple Watch Ultra 2 Launch", IF(AND(A170&gt;='Campaign Metadata'!$B$5,A170&lt;='Campaign Metadata'!$C$5), "Sustainability Awareness Drive", IF(AND(A170&gt;='Campaign Metadata'!$B$6,A170&lt;='Campaign Metadata'!$C$6), "Apple Event September 2025", "No Campaign")))))</f>
        <v>Sustainability Awareness Drive</v>
      </c>
    </row>
    <row r="171" spans="1:8" x14ac:dyDescent="0.3">
      <c r="A171" s="5">
        <v>45740</v>
      </c>
      <c r="B171" s="21" t="s">
        <v>30</v>
      </c>
      <c r="C171" s="22">
        <v>3196</v>
      </c>
      <c r="D171" s="22">
        <v>348</v>
      </c>
      <c r="E171" s="22">
        <v>1037497</v>
      </c>
      <c r="F171">
        <v>14.03040201562029</v>
      </c>
      <c r="G171">
        <v>40314</v>
      </c>
      <c r="H171" t="str">
        <f>IF(AND(A171&gt;='Campaign Metadata'!$B$2,A171&lt;='Campaign Metadata'!$C$2),"iPhone 16 Launch", IF(AND(A171&gt;='Campaign Metadata'!$B$3,A171&lt;='Campaign Metadata'!$C$3), "MacBook Air M3 Campaign", IF(AND(A171&gt;='Campaign Metadata'!$B$4,A171&lt;='Campaign Metadata'!$C$4), "Apple Watch Ultra 2 Launch", IF(AND(A171&gt;='Campaign Metadata'!$B$5,A171&lt;='Campaign Metadata'!$C$5), "Sustainability Awareness Drive", IF(AND(A171&gt;='Campaign Metadata'!$B$6,A171&lt;='Campaign Metadata'!$C$6), "Apple Event September 2025", "No Campaign")))))</f>
        <v>Sustainability Awareness Drive</v>
      </c>
    </row>
    <row r="172" spans="1:8" x14ac:dyDescent="0.3">
      <c r="A172" s="5">
        <v>45740</v>
      </c>
      <c r="B172" s="21" t="s">
        <v>32</v>
      </c>
      <c r="C172" s="22">
        <v>4747</v>
      </c>
      <c r="D172" s="22">
        <v>558</v>
      </c>
      <c r="E172" s="22">
        <v>1041686</v>
      </c>
      <c r="F172">
        <v>5.7680529449373434</v>
      </c>
      <c r="G172">
        <v>12643</v>
      </c>
      <c r="H172" t="str">
        <f>IF(AND(A172&gt;='Campaign Metadata'!$B$2,A172&lt;='Campaign Metadata'!$C$2),"iPhone 16 Launch", IF(AND(A172&gt;='Campaign Metadata'!$B$3,A172&lt;='Campaign Metadata'!$C$3), "MacBook Air M3 Campaign", IF(AND(A172&gt;='Campaign Metadata'!$B$4,A172&lt;='Campaign Metadata'!$C$4), "Apple Watch Ultra 2 Launch", IF(AND(A172&gt;='Campaign Metadata'!$B$5,A172&lt;='Campaign Metadata'!$C$5), "Sustainability Awareness Drive", IF(AND(A172&gt;='Campaign Metadata'!$B$6,A172&lt;='Campaign Metadata'!$C$6), "Apple Event September 2025", "No Campaign")))))</f>
        <v>Sustainability Awareness Drive</v>
      </c>
    </row>
    <row r="173" spans="1:8" x14ac:dyDescent="0.3">
      <c r="A173" s="5">
        <v>45740</v>
      </c>
      <c r="B173" s="21" t="s">
        <v>30</v>
      </c>
      <c r="C173" s="22">
        <v>9843</v>
      </c>
      <c r="D173" s="22">
        <v>508</v>
      </c>
      <c r="E173" s="22">
        <v>1051021</v>
      </c>
      <c r="F173">
        <v>4.2080986012648651</v>
      </c>
      <c r="G173">
        <v>50785</v>
      </c>
      <c r="H173" t="str">
        <f>IF(AND(A173&gt;='Campaign Metadata'!$B$2,A173&lt;='Campaign Metadata'!$C$2),"iPhone 16 Launch", IF(AND(A173&gt;='Campaign Metadata'!$B$3,A173&lt;='Campaign Metadata'!$C$3), "MacBook Air M3 Campaign", IF(AND(A173&gt;='Campaign Metadata'!$B$4,A173&lt;='Campaign Metadata'!$C$4), "Apple Watch Ultra 2 Launch", IF(AND(A173&gt;='Campaign Metadata'!$B$5,A173&lt;='Campaign Metadata'!$C$5), "Sustainability Awareness Drive", IF(AND(A173&gt;='Campaign Metadata'!$B$6,A173&lt;='Campaign Metadata'!$C$6), "Apple Event September 2025", "No Campaign")))))</f>
        <v>Sustainability Awareness Drive</v>
      </c>
    </row>
    <row r="174" spans="1:8" x14ac:dyDescent="0.3">
      <c r="A174" s="5">
        <v>45747</v>
      </c>
      <c r="B174" s="21" t="s">
        <v>31</v>
      </c>
      <c r="C174" s="22">
        <v>6978</v>
      </c>
      <c r="D174" s="22">
        <v>706</v>
      </c>
      <c r="E174" s="22">
        <v>1057293</v>
      </c>
      <c r="F174">
        <v>5.057443868445171</v>
      </c>
      <c r="G174">
        <v>28681</v>
      </c>
      <c r="H174" t="str">
        <f>IF(AND(A174&gt;='Campaign Metadata'!$B$2,A174&lt;='Campaign Metadata'!$C$2),"iPhone 16 Launch", IF(AND(A174&gt;='Campaign Metadata'!$B$3,A174&lt;='Campaign Metadata'!$C$3), "MacBook Air M3 Campaign", IF(AND(A174&gt;='Campaign Metadata'!$B$4,A174&lt;='Campaign Metadata'!$C$4), "Apple Watch Ultra 2 Launch", IF(AND(A174&gt;='Campaign Metadata'!$B$5,A174&lt;='Campaign Metadata'!$C$5), "Sustainability Awareness Drive", IF(AND(A174&gt;='Campaign Metadata'!$B$6,A174&lt;='Campaign Metadata'!$C$6), "Apple Event September 2025", "No Campaign")))))</f>
        <v>Sustainability Awareness Drive</v>
      </c>
    </row>
    <row r="175" spans="1:8" x14ac:dyDescent="0.3">
      <c r="A175" s="5">
        <v>45747</v>
      </c>
      <c r="B175" s="21" t="s">
        <v>29</v>
      </c>
      <c r="C175" s="22">
        <v>6607</v>
      </c>
      <c r="D175" s="22">
        <v>479</v>
      </c>
      <c r="E175" s="22">
        <v>1063421</v>
      </c>
      <c r="F175">
        <v>5.5892257158735816</v>
      </c>
      <c r="G175">
        <v>48328</v>
      </c>
      <c r="H175" t="str">
        <f>IF(AND(A175&gt;='Campaign Metadata'!$B$2,A175&lt;='Campaign Metadata'!$C$2),"iPhone 16 Launch", IF(AND(A175&gt;='Campaign Metadata'!$B$3,A175&lt;='Campaign Metadata'!$C$3), "MacBook Air M3 Campaign", IF(AND(A175&gt;='Campaign Metadata'!$B$4,A175&lt;='Campaign Metadata'!$C$4), "Apple Watch Ultra 2 Launch", IF(AND(A175&gt;='Campaign Metadata'!$B$5,A175&lt;='Campaign Metadata'!$C$5), "Sustainability Awareness Drive", IF(AND(A175&gt;='Campaign Metadata'!$B$6,A175&lt;='Campaign Metadata'!$C$6), "Apple Event September 2025", "No Campaign")))))</f>
        <v>Sustainability Awareness Drive</v>
      </c>
    </row>
    <row r="176" spans="1:8" x14ac:dyDescent="0.3">
      <c r="A176" s="5">
        <v>45747</v>
      </c>
      <c r="B176" s="21" t="s">
        <v>32</v>
      </c>
      <c r="C176" s="22">
        <v>1769</v>
      </c>
      <c r="D176" s="22">
        <v>202</v>
      </c>
      <c r="E176" s="22">
        <v>1064988</v>
      </c>
      <c r="F176">
        <v>6.5457075572682513</v>
      </c>
      <c r="G176">
        <v>25892</v>
      </c>
      <c r="H176" t="str">
        <f>IF(AND(A176&gt;='Campaign Metadata'!$B$2,A176&lt;='Campaign Metadata'!$C$2),"iPhone 16 Launch", IF(AND(A176&gt;='Campaign Metadata'!$B$3,A176&lt;='Campaign Metadata'!$C$3), "MacBook Air M3 Campaign", IF(AND(A176&gt;='Campaign Metadata'!$B$4,A176&lt;='Campaign Metadata'!$C$4), "Apple Watch Ultra 2 Launch", IF(AND(A176&gt;='Campaign Metadata'!$B$5,A176&lt;='Campaign Metadata'!$C$5), "Sustainability Awareness Drive", IF(AND(A176&gt;='Campaign Metadata'!$B$6,A176&lt;='Campaign Metadata'!$C$6), "Apple Event September 2025", "No Campaign")))))</f>
        <v>Sustainability Awareness Drive</v>
      </c>
    </row>
    <row r="177" spans="1:8" x14ac:dyDescent="0.3">
      <c r="A177" s="5">
        <v>45747</v>
      </c>
      <c r="B177" s="21" t="s">
        <v>30</v>
      </c>
      <c r="C177" s="22">
        <v>1780</v>
      </c>
      <c r="D177" s="22">
        <v>120</v>
      </c>
      <c r="E177" s="22">
        <v>1066648</v>
      </c>
      <c r="F177">
        <v>13.86474263299608</v>
      </c>
      <c r="G177">
        <v>57299</v>
      </c>
      <c r="H177" t="str">
        <f>IF(AND(A177&gt;='Campaign Metadata'!$B$2,A177&lt;='Campaign Metadata'!$C$2),"iPhone 16 Launch", IF(AND(A177&gt;='Campaign Metadata'!$B$3,A177&lt;='Campaign Metadata'!$C$3), "MacBook Air M3 Campaign", IF(AND(A177&gt;='Campaign Metadata'!$B$4,A177&lt;='Campaign Metadata'!$C$4), "Apple Watch Ultra 2 Launch", IF(AND(A177&gt;='Campaign Metadata'!$B$5,A177&lt;='Campaign Metadata'!$C$5), "Sustainability Awareness Drive", IF(AND(A177&gt;='Campaign Metadata'!$B$6,A177&lt;='Campaign Metadata'!$C$6), "Apple Event September 2025", "No Campaign")))))</f>
        <v>Sustainability Awareness Drive</v>
      </c>
    </row>
    <row r="178" spans="1:8" x14ac:dyDescent="0.3">
      <c r="A178" s="5">
        <v>45754</v>
      </c>
      <c r="B178" s="21" t="s">
        <v>32</v>
      </c>
      <c r="C178" s="22">
        <v>7303</v>
      </c>
      <c r="D178" s="22">
        <v>869</v>
      </c>
      <c r="E178" s="22">
        <v>1073082</v>
      </c>
      <c r="F178">
        <v>8.1237966902808925</v>
      </c>
      <c r="G178">
        <v>27073</v>
      </c>
      <c r="H178" t="str">
        <f>IF(AND(A178&gt;='Campaign Metadata'!$B$2,A178&lt;='Campaign Metadata'!$C$2),"iPhone 16 Launch", IF(AND(A178&gt;='Campaign Metadata'!$B$3,A178&lt;='Campaign Metadata'!$C$3), "MacBook Air M3 Campaign", IF(AND(A178&gt;='Campaign Metadata'!$B$4,A178&lt;='Campaign Metadata'!$C$4), "Apple Watch Ultra 2 Launch", IF(AND(A178&gt;='Campaign Metadata'!$B$5,A178&lt;='Campaign Metadata'!$C$5), "Sustainability Awareness Drive", IF(AND(A178&gt;='Campaign Metadata'!$B$6,A178&lt;='Campaign Metadata'!$C$6), "Apple Event September 2025", "No Campaign")))))</f>
        <v>No Campaign</v>
      </c>
    </row>
    <row r="179" spans="1:8" x14ac:dyDescent="0.3">
      <c r="A179" s="5">
        <v>45754</v>
      </c>
      <c r="B179" s="21" t="s">
        <v>30</v>
      </c>
      <c r="C179" s="22">
        <v>4983</v>
      </c>
      <c r="D179" s="22">
        <v>441</v>
      </c>
      <c r="E179" s="22">
        <v>1077624</v>
      </c>
      <c r="F179">
        <v>6.8954477628560609</v>
      </c>
      <c r="G179">
        <v>46768</v>
      </c>
      <c r="H179" t="str">
        <f>IF(AND(A179&gt;='Campaign Metadata'!$B$2,A179&lt;='Campaign Metadata'!$C$2),"iPhone 16 Launch", IF(AND(A179&gt;='Campaign Metadata'!$B$3,A179&lt;='Campaign Metadata'!$C$3), "MacBook Air M3 Campaign", IF(AND(A179&gt;='Campaign Metadata'!$B$4,A179&lt;='Campaign Metadata'!$C$4), "Apple Watch Ultra 2 Launch", IF(AND(A179&gt;='Campaign Metadata'!$B$5,A179&lt;='Campaign Metadata'!$C$5), "Sustainability Awareness Drive", IF(AND(A179&gt;='Campaign Metadata'!$B$6,A179&lt;='Campaign Metadata'!$C$6), "Apple Event September 2025", "No Campaign")))))</f>
        <v>No Campaign</v>
      </c>
    </row>
    <row r="180" spans="1:8" x14ac:dyDescent="0.3">
      <c r="A180" s="5">
        <v>45754</v>
      </c>
      <c r="B180" s="21" t="s">
        <v>31</v>
      </c>
      <c r="C180" s="22">
        <v>9714</v>
      </c>
      <c r="D180" s="22">
        <v>1395</v>
      </c>
      <c r="E180" s="22">
        <v>1085943</v>
      </c>
      <c r="F180">
        <v>5.2243073531483697</v>
      </c>
      <c r="G180">
        <v>40682</v>
      </c>
      <c r="H180" t="str">
        <f>IF(AND(A180&gt;='Campaign Metadata'!$B$2,A180&lt;='Campaign Metadata'!$C$2),"iPhone 16 Launch", IF(AND(A180&gt;='Campaign Metadata'!$B$3,A180&lt;='Campaign Metadata'!$C$3), "MacBook Air M3 Campaign", IF(AND(A180&gt;='Campaign Metadata'!$B$4,A180&lt;='Campaign Metadata'!$C$4), "Apple Watch Ultra 2 Launch", IF(AND(A180&gt;='Campaign Metadata'!$B$5,A180&lt;='Campaign Metadata'!$C$5), "Sustainability Awareness Drive", IF(AND(A180&gt;='Campaign Metadata'!$B$6,A180&lt;='Campaign Metadata'!$C$6), "Apple Event September 2025", "No Campaign")))))</f>
        <v>No Campaign</v>
      </c>
    </row>
    <row r="181" spans="1:8" x14ac:dyDescent="0.3">
      <c r="A181" s="5">
        <v>45754</v>
      </c>
      <c r="B181" s="21" t="s">
        <v>29</v>
      </c>
      <c r="C181" s="22">
        <v>1521</v>
      </c>
      <c r="D181" s="22">
        <v>96</v>
      </c>
      <c r="E181" s="22">
        <v>1087368</v>
      </c>
      <c r="F181">
        <v>12.709772588488899</v>
      </c>
      <c r="G181">
        <v>42262</v>
      </c>
      <c r="H181" t="str">
        <f>IF(AND(A181&gt;='Campaign Metadata'!$B$2,A181&lt;='Campaign Metadata'!$C$2),"iPhone 16 Launch", IF(AND(A181&gt;='Campaign Metadata'!$B$3,A181&lt;='Campaign Metadata'!$C$3), "MacBook Air M3 Campaign", IF(AND(A181&gt;='Campaign Metadata'!$B$4,A181&lt;='Campaign Metadata'!$C$4), "Apple Watch Ultra 2 Launch", IF(AND(A181&gt;='Campaign Metadata'!$B$5,A181&lt;='Campaign Metadata'!$C$5), "Sustainability Awareness Drive", IF(AND(A181&gt;='Campaign Metadata'!$B$6,A181&lt;='Campaign Metadata'!$C$6), "Apple Event September 2025", "No Campaign")))))</f>
        <v>No Campaign</v>
      </c>
    </row>
    <row r="182" spans="1:8" x14ac:dyDescent="0.3">
      <c r="A182" s="5">
        <v>45761</v>
      </c>
      <c r="B182" s="21" t="s">
        <v>30</v>
      </c>
      <c r="C182" s="22">
        <v>8569</v>
      </c>
      <c r="D182" s="22">
        <v>720</v>
      </c>
      <c r="E182" s="22">
        <v>1095217</v>
      </c>
      <c r="F182">
        <v>9.589697749395782</v>
      </c>
      <c r="G182">
        <v>41358</v>
      </c>
      <c r="H182" t="str">
        <f>IF(AND(A182&gt;='Campaign Metadata'!$B$2,A182&lt;='Campaign Metadata'!$C$2),"iPhone 16 Launch", IF(AND(A182&gt;='Campaign Metadata'!$B$3,A182&lt;='Campaign Metadata'!$C$3), "MacBook Air M3 Campaign", IF(AND(A182&gt;='Campaign Metadata'!$B$4,A182&lt;='Campaign Metadata'!$C$4), "Apple Watch Ultra 2 Launch", IF(AND(A182&gt;='Campaign Metadata'!$B$5,A182&lt;='Campaign Metadata'!$C$5), "Sustainability Awareness Drive", IF(AND(A182&gt;='Campaign Metadata'!$B$6,A182&lt;='Campaign Metadata'!$C$6), "Apple Event September 2025", "No Campaign")))))</f>
        <v>No Campaign</v>
      </c>
    </row>
    <row r="183" spans="1:8" x14ac:dyDescent="0.3">
      <c r="A183" s="5">
        <v>45761</v>
      </c>
      <c r="B183" s="21" t="s">
        <v>30</v>
      </c>
      <c r="C183" s="22">
        <v>6784</v>
      </c>
      <c r="D183" s="22">
        <v>416</v>
      </c>
      <c r="E183" s="22">
        <v>1101585</v>
      </c>
      <c r="F183">
        <v>9.3041390360253633</v>
      </c>
      <c r="G183">
        <v>24289</v>
      </c>
      <c r="H183" t="str">
        <f>IF(AND(A183&gt;='Campaign Metadata'!$B$2,A183&lt;='Campaign Metadata'!$C$2),"iPhone 16 Launch", IF(AND(A183&gt;='Campaign Metadata'!$B$3,A183&lt;='Campaign Metadata'!$C$3), "MacBook Air M3 Campaign", IF(AND(A183&gt;='Campaign Metadata'!$B$4,A183&lt;='Campaign Metadata'!$C$4), "Apple Watch Ultra 2 Launch", IF(AND(A183&gt;='Campaign Metadata'!$B$5,A183&lt;='Campaign Metadata'!$C$5), "Sustainability Awareness Drive", IF(AND(A183&gt;='Campaign Metadata'!$B$6,A183&lt;='Campaign Metadata'!$C$6), "Apple Event September 2025", "No Campaign")))))</f>
        <v>No Campaign</v>
      </c>
    </row>
    <row r="184" spans="1:8" x14ac:dyDescent="0.3">
      <c r="A184" s="5">
        <v>45761</v>
      </c>
      <c r="B184" s="21" t="s">
        <v>30</v>
      </c>
      <c r="C184" s="22">
        <v>5583</v>
      </c>
      <c r="D184" s="22">
        <v>795</v>
      </c>
      <c r="E184" s="22">
        <v>1106373</v>
      </c>
      <c r="F184">
        <v>12.21550055903389</v>
      </c>
      <c r="G184">
        <v>59823</v>
      </c>
      <c r="H184" t="str">
        <f>IF(AND(A184&gt;='Campaign Metadata'!$B$2,A184&lt;='Campaign Metadata'!$C$2),"iPhone 16 Launch", IF(AND(A184&gt;='Campaign Metadata'!$B$3,A184&lt;='Campaign Metadata'!$C$3), "MacBook Air M3 Campaign", IF(AND(A184&gt;='Campaign Metadata'!$B$4,A184&lt;='Campaign Metadata'!$C$4), "Apple Watch Ultra 2 Launch", IF(AND(A184&gt;='Campaign Metadata'!$B$5,A184&lt;='Campaign Metadata'!$C$5), "Sustainability Awareness Drive", IF(AND(A184&gt;='Campaign Metadata'!$B$6,A184&lt;='Campaign Metadata'!$C$6), "Apple Event September 2025", "No Campaign")))))</f>
        <v>No Campaign</v>
      </c>
    </row>
    <row r="185" spans="1:8" x14ac:dyDescent="0.3">
      <c r="A185" s="5">
        <v>45761</v>
      </c>
      <c r="B185" s="21" t="s">
        <v>30</v>
      </c>
      <c r="C185" s="22">
        <v>6946</v>
      </c>
      <c r="D185" s="22">
        <v>956</v>
      </c>
      <c r="E185" s="22">
        <v>1112363</v>
      </c>
      <c r="F185">
        <v>1.64146056637986</v>
      </c>
      <c r="G185">
        <v>17927</v>
      </c>
      <c r="H185" t="str">
        <f>IF(AND(A185&gt;='Campaign Metadata'!$B$2,A185&lt;='Campaign Metadata'!$C$2),"iPhone 16 Launch", IF(AND(A185&gt;='Campaign Metadata'!$B$3,A185&lt;='Campaign Metadata'!$C$3), "MacBook Air M3 Campaign", IF(AND(A185&gt;='Campaign Metadata'!$B$4,A185&lt;='Campaign Metadata'!$C$4), "Apple Watch Ultra 2 Launch", IF(AND(A185&gt;='Campaign Metadata'!$B$5,A185&lt;='Campaign Metadata'!$C$5), "Sustainability Awareness Drive", IF(AND(A185&gt;='Campaign Metadata'!$B$6,A185&lt;='Campaign Metadata'!$C$6), "Apple Event September 2025", "No Campaign")))))</f>
        <v>No Campaign</v>
      </c>
    </row>
    <row r="186" spans="1:8" x14ac:dyDescent="0.3">
      <c r="A186" s="5">
        <v>45768</v>
      </c>
      <c r="B186" s="21" t="s">
        <v>29</v>
      </c>
      <c r="C186" s="22">
        <v>5941</v>
      </c>
      <c r="D186" s="22">
        <v>450</v>
      </c>
      <c r="E186" s="22">
        <v>1117854</v>
      </c>
      <c r="F186">
        <v>12.414411899944</v>
      </c>
      <c r="G186">
        <v>58330</v>
      </c>
      <c r="H186" t="str">
        <f>IF(AND(A186&gt;='Campaign Metadata'!$B$2,A186&lt;='Campaign Metadata'!$C$2),"iPhone 16 Launch", IF(AND(A186&gt;='Campaign Metadata'!$B$3,A186&lt;='Campaign Metadata'!$C$3), "MacBook Air M3 Campaign", IF(AND(A186&gt;='Campaign Metadata'!$B$4,A186&lt;='Campaign Metadata'!$C$4), "Apple Watch Ultra 2 Launch", IF(AND(A186&gt;='Campaign Metadata'!$B$5,A186&lt;='Campaign Metadata'!$C$5), "Sustainability Awareness Drive", IF(AND(A186&gt;='Campaign Metadata'!$B$6,A186&lt;='Campaign Metadata'!$C$6), "Apple Event September 2025", "No Campaign")))))</f>
        <v>No Campaign</v>
      </c>
    </row>
    <row r="187" spans="1:8" x14ac:dyDescent="0.3">
      <c r="A187" s="5">
        <v>45768</v>
      </c>
      <c r="B187" s="21" t="s">
        <v>29</v>
      </c>
      <c r="C187" s="22">
        <v>7267</v>
      </c>
      <c r="D187" s="22">
        <v>842</v>
      </c>
      <c r="E187" s="22">
        <v>1124279</v>
      </c>
      <c r="F187">
        <v>2.2102165031989389</v>
      </c>
      <c r="G187">
        <v>11171</v>
      </c>
      <c r="H187" t="str">
        <f>IF(AND(A187&gt;='Campaign Metadata'!$B$2,A187&lt;='Campaign Metadata'!$C$2),"iPhone 16 Launch", IF(AND(A187&gt;='Campaign Metadata'!$B$3,A187&lt;='Campaign Metadata'!$C$3), "MacBook Air M3 Campaign", IF(AND(A187&gt;='Campaign Metadata'!$B$4,A187&lt;='Campaign Metadata'!$C$4), "Apple Watch Ultra 2 Launch", IF(AND(A187&gt;='Campaign Metadata'!$B$5,A187&lt;='Campaign Metadata'!$C$5), "Sustainability Awareness Drive", IF(AND(A187&gt;='Campaign Metadata'!$B$6,A187&lt;='Campaign Metadata'!$C$6), "Apple Event September 2025", "No Campaign")))))</f>
        <v>No Campaign</v>
      </c>
    </row>
    <row r="188" spans="1:8" x14ac:dyDescent="0.3">
      <c r="A188" s="5">
        <v>45768</v>
      </c>
      <c r="B188" s="21" t="s">
        <v>31</v>
      </c>
      <c r="C188" s="22">
        <v>8128</v>
      </c>
      <c r="D188" s="22">
        <v>1070</v>
      </c>
      <c r="E188" s="22">
        <v>1131337</v>
      </c>
      <c r="F188">
        <v>8.1114645768679008</v>
      </c>
      <c r="G188">
        <v>21918</v>
      </c>
      <c r="H188" t="str">
        <f>IF(AND(A188&gt;='Campaign Metadata'!$B$2,A188&lt;='Campaign Metadata'!$C$2),"iPhone 16 Launch", IF(AND(A188&gt;='Campaign Metadata'!$B$3,A188&lt;='Campaign Metadata'!$C$3), "MacBook Air M3 Campaign", IF(AND(A188&gt;='Campaign Metadata'!$B$4,A188&lt;='Campaign Metadata'!$C$4), "Apple Watch Ultra 2 Launch", IF(AND(A188&gt;='Campaign Metadata'!$B$5,A188&lt;='Campaign Metadata'!$C$5), "Sustainability Awareness Drive", IF(AND(A188&gt;='Campaign Metadata'!$B$6,A188&lt;='Campaign Metadata'!$C$6), "Apple Event September 2025", "No Campaign")))))</f>
        <v>No Campaign</v>
      </c>
    </row>
    <row r="189" spans="1:8" x14ac:dyDescent="0.3">
      <c r="A189" s="5">
        <v>45768</v>
      </c>
      <c r="B189" s="21" t="s">
        <v>29</v>
      </c>
      <c r="C189" s="22">
        <v>3461</v>
      </c>
      <c r="D189" s="22">
        <v>365</v>
      </c>
      <c r="E189" s="22">
        <v>1134433</v>
      </c>
      <c r="F189">
        <v>10.23489267325616</v>
      </c>
      <c r="G189">
        <v>51903</v>
      </c>
      <c r="H189" t="str">
        <f>IF(AND(A189&gt;='Campaign Metadata'!$B$2,A189&lt;='Campaign Metadata'!$C$2),"iPhone 16 Launch", IF(AND(A189&gt;='Campaign Metadata'!$B$3,A189&lt;='Campaign Metadata'!$C$3), "MacBook Air M3 Campaign", IF(AND(A189&gt;='Campaign Metadata'!$B$4,A189&lt;='Campaign Metadata'!$C$4), "Apple Watch Ultra 2 Launch", IF(AND(A189&gt;='Campaign Metadata'!$B$5,A189&lt;='Campaign Metadata'!$C$5), "Sustainability Awareness Drive", IF(AND(A189&gt;='Campaign Metadata'!$B$6,A189&lt;='Campaign Metadata'!$C$6), "Apple Event September 2025", "No Campaign")))))</f>
        <v>No Campaign</v>
      </c>
    </row>
    <row r="190" spans="1:8" x14ac:dyDescent="0.3">
      <c r="A190" s="5">
        <v>45775</v>
      </c>
      <c r="B190" s="21" t="s">
        <v>30</v>
      </c>
      <c r="C190" s="22">
        <v>1685</v>
      </c>
      <c r="D190" s="22">
        <v>173</v>
      </c>
      <c r="E190" s="22">
        <v>1135945</v>
      </c>
      <c r="F190">
        <v>8.7776256772995165</v>
      </c>
      <c r="G190">
        <v>49110</v>
      </c>
      <c r="H190" t="str">
        <f>IF(AND(A190&gt;='Campaign Metadata'!$B$2,A190&lt;='Campaign Metadata'!$C$2),"iPhone 16 Launch", IF(AND(A190&gt;='Campaign Metadata'!$B$3,A190&lt;='Campaign Metadata'!$C$3), "MacBook Air M3 Campaign", IF(AND(A190&gt;='Campaign Metadata'!$B$4,A190&lt;='Campaign Metadata'!$C$4), "Apple Watch Ultra 2 Launch", IF(AND(A190&gt;='Campaign Metadata'!$B$5,A190&lt;='Campaign Metadata'!$C$5), "Sustainability Awareness Drive", IF(AND(A190&gt;='Campaign Metadata'!$B$6,A190&lt;='Campaign Metadata'!$C$6), "Apple Event September 2025", "No Campaign")))))</f>
        <v>No Campaign</v>
      </c>
    </row>
    <row r="191" spans="1:8" x14ac:dyDescent="0.3">
      <c r="A191" s="5">
        <v>45775</v>
      </c>
      <c r="B191" s="21" t="s">
        <v>31</v>
      </c>
      <c r="C191" s="22">
        <v>3160</v>
      </c>
      <c r="D191" s="22">
        <v>234</v>
      </c>
      <c r="E191" s="22">
        <v>1138871</v>
      </c>
      <c r="F191">
        <v>5.6959041015180816</v>
      </c>
      <c r="G191">
        <v>21929</v>
      </c>
      <c r="H191" t="str">
        <f>IF(AND(A191&gt;='Campaign Metadata'!$B$2,A191&lt;='Campaign Metadata'!$C$2),"iPhone 16 Launch", IF(AND(A191&gt;='Campaign Metadata'!$B$3,A191&lt;='Campaign Metadata'!$C$3), "MacBook Air M3 Campaign", IF(AND(A191&gt;='Campaign Metadata'!$B$4,A191&lt;='Campaign Metadata'!$C$4), "Apple Watch Ultra 2 Launch", IF(AND(A191&gt;='Campaign Metadata'!$B$5,A191&lt;='Campaign Metadata'!$C$5), "Sustainability Awareness Drive", IF(AND(A191&gt;='Campaign Metadata'!$B$6,A191&lt;='Campaign Metadata'!$C$6), "Apple Event September 2025", "No Campaign")))))</f>
        <v>No Campaign</v>
      </c>
    </row>
    <row r="192" spans="1:8" x14ac:dyDescent="0.3">
      <c r="A192" s="5">
        <v>45775</v>
      </c>
      <c r="B192" s="21" t="s">
        <v>31</v>
      </c>
      <c r="C192" s="22">
        <v>8031</v>
      </c>
      <c r="D192" s="22">
        <v>476</v>
      </c>
      <c r="E192" s="22">
        <v>1146426</v>
      </c>
      <c r="F192">
        <v>11.940413075069831</v>
      </c>
      <c r="G192">
        <v>12539</v>
      </c>
      <c r="H192" t="str">
        <f>IF(AND(A192&gt;='Campaign Metadata'!$B$2,A192&lt;='Campaign Metadata'!$C$2),"iPhone 16 Launch", IF(AND(A192&gt;='Campaign Metadata'!$B$3,A192&lt;='Campaign Metadata'!$C$3), "MacBook Air M3 Campaign", IF(AND(A192&gt;='Campaign Metadata'!$B$4,A192&lt;='Campaign Metadata'!$C$4), "Apple Watch Ultra 2 Launch", IF(AND(A192&gt;='Campaign Metadata'!$B$5,A192&lt;='Campaign Metadata'!$C$5), "Sustainability Awareness Drive", IF(AND(A192&gt;='Campaign Metadata'!$B$6,A192&lt;='Campaign Metadata'!$C$6), "Apple Event September 2025", "No Campaign")))))</f>
        <v>No Campaign</v>
      </c>
    </row>
    <row r="193" spans="1:8" x14ac:dyDescent="0.3">
      <c r="A193" s="5">
        <v>45775</v>
      </c>
      <c r="B193" s="21" t="s">
        <v>31</v>
      </c>
      <c r="C193" s="22">
        <v>6341</v>
      </c>
      <c r="D193" s="22">
        <v>885</v>
      </c>
      <c r="E193" s="22">
        <v>1151882</v>
      </c>
      <c r="F193">
        <v>6.3457020771224837</v>
      </c>
      <c r="G193">
        <v>46727</v>
      </c>
      <c r="H193" t="str">
        <f>IF(AND(A193&gt;='Campaign Metadata'!$B$2,A193&lt;='Campaign Metadata'!$C$2),"iPhone 16 Launch", IF(AND(A193&gt;='Campaign Metadata'!$B$3,A193&lt;='Campaign Metadata'!$C$3), "MacBook Air M3 Campaign", IF(AND(A193&gt;='Campaign Metadata'!$B$4,A193&lt;='Campaign Metadata'!$C$4), "Apple Watch Ultra 2 Launch", IF(AND(A193&gt;='Campaign Metadata'!$B$5,A193&lt;='Campaign Metadata'!$C$5), "Sustainability Awareness Drive", IF(AND(A193&gt;='Campaign Metadata'!$B$6,A193&lt;='Campaign Metadata'!$C$6), "Apple Event September 2025", "No Campaign")))))</f>
        <v>No Campaign</v>
      </c>
    </row>
    <row r="194" spans="1:8" x14ac:dyDescent="0.3">
      <c r="A194" s="5">
        <v>45782</v>
      </c>
      <c r="B194" s="21" t="s">
        <v>30</v>
      </c>
      <c r="C194" s="22">
        <v>1038</v>
      </c>
      <c r="D194" s="22">
        <v>145</v>
      </c>
      <c r="E194" s="22">
        <v>1152775</v>
      </c>
      <c r="F194">
        <v>11.093752033137431</v>
      </c>
      <c r="G194">
        <v>55951</v>
      </c>
      <c r="H194" t="str">
        <f>IF(AND(A194&gt;='Campaign Metadata'!$B$2,A194&lt;='Campaign Metadata'!$C$2),"iPhone 16 Launch", IF(AND(A194&gt;='Campaign Metadata'!$B$3,A194&lt;='Campaign Metadata'!$C$3), "MacBook Air M3 Campaign", IF(AND(A194&gt;='Campaign Metadata'!$B$4,A194&lt;='Campaign Metadata'!$C$4), "Apple Watch Ultra 2 Launch", IF(AND(A194&gt;='Campaign Metadata'!$B$5,A194&lt;='Campaign Metadata'!$C$5), "Sustainability Awareness Drive", IF(AND(A194&gt;='Campaign Metadata'!$B$6,A194&lt;='Campaign Metadata'!$C$6), "Apple Event September 2025", "No Campaign")))))</f>
        <v>No Campaign</v>
      </c>
    </row>
    <row r="195" spans="1:8" x14ac:dyDescent="0.3">
      <c r="A195" s="5">
        <v>45782</v>
      </c>
      <c r="B195" s="21" t="s">
        <v>32</v>
      </c>
      <c r="C195" s="22">
        <v>5875</v>
      </c>
      <c r="D195" s="22">
        <v>665</v>
      </c>
      <c r="E195" s="22">
        <v>1157985</v>
      </c>
      <c r="F195">
        <v>6.9871371390821126</v>
      </c>
      <c r="G195">
        <v>32669</v>
      </c>
      <c r="H195" t="str">
        <f>IF(AND(A195&gt;='Campaign Metadata'!$B$2,A195&lt;='Campaign Metadata'!$C$2),"iPhone 16 Launch", IF(AND(A195&gt;='Campaign Metadata'!$B$3,A195&lt;='Campaign Metadata'!$C$3), "MacBook Air M3 Campaign", IF(AND(A195&gt;='Campaign Metadata'!$B$4,A195&lt;='Campaign Metadata'!$C$4), "Apple Watch Ultra 2 Launch", IF(AND(A195&gt;='Campaign Metadata'!$B$5,A195&lt;='Campaign Metadata'!$C$5), "Sustainability Awareness Drive", IF(AND(A195&gt;='Campaign Metadata'!$B$6,A195&lt;='Campaign Metadata'!$C$6), "Apple Event September 2025", "No Campaign")))))</f>
        <v>No Campaign</v>
      </c>
    </row>
    <row r="196" spans="1:8" x14ac:dyDescent="0.3">
      <c r="A196" s="5">
        <v>45782</v>
      </c>
      <c r="B196" s="21" t="s">
        <v>30</v>
      </c>
      <c r="C196" s="22">
        <v>2256</v>
      </c>
      <c r="D196" s="22">
        <v>189</v>
      </c>
      <c r="E196" s="22">
        <v>1160052</v>
      </c>
      <c r="F196">
        <v>2.8935771844710412</v>
      </c>
      <c r="G196">
        <v>15432</v>
      </c>
      <c r="H196" t="str">
        <f>IF(AND(A196&gt;='Campaign Metadata'!$B$2,A196&lt;='Campaign Metadata'!$C$2),"iPhone 16 Launch", IF(AND(A196&gt;='Campaign Metadata'!$B$3,A196&lt;='Campaign Metadata'!$C$3), "MacBook Air M3 Campaign", IF(AND(A196&gt;='Campaign Metadata'!$B$4,A196&lt;='Campaign Metadata'!$C$4), "Apple Watch Ultra 2 Launch", IF(AND(A196&gt;='Campaign Metadata'!$B$5,A196&lt;='Campaign Metadata'!$C$5), "Sustainability Awareness Drive", IF(AND(A196&gt;='Campaign Metadata'!$B$6,A196&lt;='Campaign Metadata'!$C$6), "Apple Event September 2025", "No Campaign")))))</f>
        <v>No Campaign</v>
      </c>
    </row>
    <row r="197" spans="1:8" x14ac:dyDescent="0.3">
      <c r="A197" s="5">
        <v>45782</v>
      </c>
      <c r="B197" s="21" t="s">
        <v>29</v>
      </c>
      <c r="C197" s="22">
        <v>8697</v>
      </c>
      <c r="D197" s="22">
        <v>738</v>
      </c>
      <c r="E197" s="22">
        <v>1168011</v>
      </c>
      <c r="F197">
        <v>3.8777032065622672</v>
      </c>
      <c r="G197">
        <v>30644</v>
      </c>
      <c r="H197" t="str">
        <f>IF(AND(A197&gt;='Campaign Metadata'!$B$2,A197&lt;='Campaign Metadata'!$C$2),"iPhone 16 Launch", IF(AND(A197&gt;='Campaign Metadata'!$B$3,A197&lt;='Campaign Metadata'!$C$3), "MacBook Air M3 Campaign", IF(AND(A197&gt;='Campaign Metadata'!$B$4,A197&lt;='Campaign Metadata'!$C$4), "Apple Watch Ultra 2 Launch", IF(AND(A197&gt;='Campaign Metadata'!$B$5,A197&lt;='Campaign Metadata'!$C$5), "Sustainability Awareness Drive", IF(AND(A197&gt;='Campaign Metadata'!$B$6,A197&lt;='Campaign Metadata'!$C$6), "Apple Event September 2025", "No Campaign")))))</f>
        <v>No Campaign</v>
      </c>
    </row>
    <row r="198" spans="1:8" x14ac:dyDescent="0.3">
      <c r="A198" s="5">
        <v>45789</v>
      </c>
      <c r="B198" s="21" t="s">
        <v>29</v>
      </c>
      <c r="C198" s="22">
        <v>3196</v>
      </c>
      <c r="D198" s="22">
        <v>391</v>
      </c>
      <c r="E198" s="22">
        <v>1170816</v>
      </c>
      <c r="F198">
        <v>7.2439221876024931</v>
      </c>
      <c r="G198">
        <v>28745</v>
      </c>
      <c r="H198" t="str">
        <f>IF(AND(A198&gt;='Campaign Metadata'!$B$2,A198&lt;='Campaign Metadata'!$C$2),"iPhone 16 Launch", IF(AND(A198&gt;='Campaign Metadata'!$B$3,A198&lt;='Campaign Metadata'!$C$3), "MacBook Air M3 Campaign", IF(AND(A198&gt;='Campaign Metadata'!$B$4,A198&lt;='Campaign Metadata'!$C$4), "Apple Watch Ultra 2 Launch", IF(AND(A198&gt;='Campaign Metadata'!$B$5,A198&lt;='Campaign Metadata'!$C$5), "Sustainability Awareness Drive", IF(AND(A198&gt;='Campaign Metadata'!$B$6,A198&lt;='Campaign Metadata'!$C$6), "Apple Event September 2025", "No Campaign")))))</f>
        <v>No Campaign</v>
      </c>
    </row>
    <row r="199" spans="1:8" x14ac:dyDescent="0.3">
      <c r="A199" s="5">
        <v>45789</v>
      </c>
      <c r="B199" s="21" t="s">
        <v>30</v>
      </c>
      <c r="C199" s="22">
        <v>8165</v>
      </c>
      <c r="D199" s="22">
        <v>1140</v>
      </c>
      <c r="E199" s="22">
        <v>1177841</v>
      </c>
      <c r="F199">
        <v>9.095964565675672</v>
      </c>
      <c r="G199">
        <v>38228</v>
      </c>
      <c r="H199" t="str">
        <f>IF(AND(A199&gt;='Campaign Metadata'!$B$2,A199&lt;='Campaign Metadata'!$C$2),"iPhone 16 Launch", IF(AND(A199&gt;='Campaign Metadata'!$B$3,A199&lt;='Campaign Metadata'!$C$3), "MacBook Air M3 Campaign", IF(AND(A199&gt;='Campaign Metadata'!$B$4,A199&lt;='Campaign Metadata'!$C$4), "Apple Watch Ultra 2 Launch", IF(AND(A199&gt;='Campaign Metadata'!$B$5,A199&lt;='Campaign Metadata'!$C$5), "Sustainability Awareness Drive", IF(AND(A199&gt;='Campaign Metadata'!$B$6,A199&lt;='Campaign Metadata'!$C$6), "Apple Event September 2025", "No Campaign")))))</f>
        <v>No Campaign</v>
      </c>
    </row>
    <row r="200" spans="1:8" x14ac:dyDescent="0.3">
      <c r="A200" s="5">
        <v>45789</v>
      </c>
      <c r="B200" s="21" t="s">
        <v>30</v>
      </c>
      <c r="C200" s="22">
        <v>1301</v>
      </c>
      <c r="D200" s="22">
        <v>180</v>
      </c>
      <c r="E200" s="22">
        <v>1178962</v>
      </c>
      <c r="F200">
        <v>5.2275645864752214</v>
      </c>
      <c r="G200">
        <v>44521</v>
      </c>
      <c r="H200" t="str">
        <f>IF(AND(A200&gt;='Campaign Metadata'!$B$2,A200&lt;='Campaign Metadata'!$C$2),"iPhone 16 Launch", IF(AND(A200&gt;='Campaign Metadata'!$B$3,A200&lt;='Campaign Metadata'!$C$3), "MacBook Air M3 Campaign", IF(AND(A200&gt;='Campaign Metadata'!$B$4,A200&lt;='Campaign Metadata'!$C$4), "Apple Watch Ultra 2 Launch", IF(AND(A200&gt;='Campaign Metadata'!$B$5,A200&lt;='Campaign Metadata'!$C$5), "Sustainability Awareness Drive", IF(AND(A200&gt;='Campaign Metadata'!$B$6,A200&lt;='Campaign Metadata'!$C$6), "Apple Event September 2025", "No Campaign")))))</f>
        <v>No Campaign</v>
      </c>
    </row>
    <row r="201" spans="1:8" x14ac:dyDescent="0.3">
      <c r="A201" s="5">
        <v>45789</v>
      </c>
      <c r="B201" s="21" t="s">
        <v>31</v>
      </c>
      <c r="C201" s="22">
        <v>8527</v>
      </c>
      <c r="D201" s="22">
        <v>1091</v>
      </c>
      <c r="E201" s="22">
        <v>1186398</v>
      </c>
      <c r="F201">
        <v>1.676081719625286</v>
      </c>
      <c r="G201">
        <v>41703</v>
      </c>
      <c r="H201" t="str">
        <f>IF(AND(A201&gt;='Campaign Metadata'!$B$2,A201&lt;='Campaign Metadata'!$C$2),"iPhone 16 Launch", IF(AND(A201&gt;='Campaign Metadata'!$B$3,A201&lt;='Campaign Metadata'!$C$3), "MacBook Air M3 Campaign", IF(AND(A201&gt;='Campaign Metadata'!$B$4,A201&lt;='Campaign Metadata'!$C$4), "Apple Watch Ultra 2 Launch", IF(AND(A201&gt;='Campaign Metadata'!$B$5,A201&lt;='Campaign Metadata'!$C$5), "Sustainability Awareness Drive", IF(AND(A201&gt;='Campaign Metadata'!$B$6,A201&lt;='Campaign Metadata'!$C$6), "Apple Event September 2025", "No Campaign")))))</f>
        <v>No Campaign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2CCD-8B01-4264-AFC6-75FBF2C27331}">
  <dimension ref="A1:H6"/>
  <sheetViews>
    <sheetView workbookViewId="0">
      <selection activeCell="H1" sqref="H1"/>
    </sheetView>
  </sheetViews>
  <sheetFormatPr defaultRowHeight="14.4" x14ac:dyDescent="0.3"/>
  <cols>
    <col min="1" max="1" width="26" bestFit="1" customWidth="1"/>
    <col min="2" max="2" width="12" bestFit="1" customWidth="1"/>
    <col min="3" max="3" width="11.109375" bestFit="1" customWidth="1"/>
    <col min="4" max="4" width="23.6640625" bestFit="1" customWidth="1"/>
    <col min="5" max="5" width="11.21875" bestFit="1" customWidth="1"/>
    <col min="6" max="6" width="12.88671875" bestFit="1" customWidth="1"/>
    <col min="7" max="7" width="18.88671875" bestFit="1" customWidth="1"/>
    <col min="8" max="8" width="10.77734375" customWidth="1"/>
  </cols>
  <sheetData>
    <row r="1" spans="1:8" x14ac:dyDescent="0.3">
      <c r="A1" s="19" t="s">
        <v>360</v>
      </c>
      <c r="B1" s="19" t="s">
        <v>361</v>
      </c>
      <c r="C1" s="19" t="s">
        <v>362</v>
      </c>
      <c r="D1" s="19" t="s">
        <v>363</v>
      </c>
      <c r="E1" s="19" t="s">
        <v>359</v>
      </c>
      <c r="F1" s="19" t="s">
        <v>56</v>
      </c>
      <c r="G1" s="19" t="s">
        <v>364</v>
      </c>
      <c r="H1" s="19" t="s">
        <v>471</v>
      </c>
    </row>
    <row r="2" spans="1:8" x14ac:dyDescent="0.3">
      <c r="A2" t="s">
        <v>63</v>
      </c>
      <c r="B2" s="5">
        <v>45458</v>
      </c>
      <c r="C2" s="5">
        <v>45488</v>
      </c>
      <c r="D2" t="s">
        <v>365</v>
      </c>
      <c r="E2" s="22">
        <v>85000</v>
      </c>
      <c r="F2" s="22">
        <v>950000</v>
      </c>
      <c r="G2" s="4">
        <v>0.45</v>
      </c>
      <c r="H2">
        <f>C2-B2</f>
        <v>30</v>
      </c>
    </row>
    <row r="3" spans="1:8" x14ac:dyDescent="0.3">
      <c r="A3" t="s">
        <v>65</v>
      </c>
      <c r="B3" s="5">
        <v>45566</v>
      </c>
      <c r="C3" s="5">
        <v>45596</v>
      </c>
      <c r="D3" t="s">
        <v>366</v>
      </c>
      <c r="E3" s="22">
        <v>60000</v>
      </c>
      <c r="F3" s="22">
        <v>780000</v>
      </c>
      <c r="G3" s="4">
        <v>0.38</v>
      </c>
      <c r="H3">
        <f t="shared" ref="H3:H6" si="0">C3-B3</f>
        <v>30</v>
      </c>
    </row>
    <row r="4" spans="1:8" x14ac:dyDescent="0.3">
      <c r="A4" t="s">
        <v>59</v>
      </c>
      <c r="B4" s="5">
        <v>45651</v>
      </c>
      <c r="C4" s="5">
        <v>45667</v>
      </c>
      <c r="D4" t="s">
        <v>367</v>
      </c>
      <c r="E4" s="22">
        <v>55000</v>
      </c>
      <c r="F4" s="22">
        <v>700000</v>
      </c>
      <c r="G4" s="4">
        <v>0.41</v>
      </c>
      <c r="H4">
        <f t="shared" si="0"/>
        <v>16</v>
      </c>
    </row>
    <row r="5" spans="1:8" x14ac:dyDescent="0.3">
      <c r="A5" t="s">
        <v>60</v>
      </c>
      <c r="B5" s="5">
        <v>45717</v>
      </c>
      <c r="C5" s="5">
        <v>45747</v>
      </c>
      <c r="D5" t="s">
        <v>368</v>
      </c>
      <c r="E5" s="22">
        <v>40000</v>
      </c>
      <c r="F5" s="22">
        <v>550000</v>
      </c>
      <c r="G5" s="4">
        <v>0.32</v>
      </c>
      <c r="H5">
        <f t="shared" si="0"/>
        <v>30</v>
      </c>
    </row>
    <row r="6" spans="1:8" x14ac:dyDescent="0.3">
      <c r="A6" t="s">
        <v>71</v>
      </c>
      <c r="B6" s="5">
        <v>45901</v>
      </c>
      <c r="C6" s="5">
        <v>45930</v>
      </c>
      <c r="D6" t="s">
        <v>369</v>
      </c>
      <c r="E6" s="22">
        <v>75000</v>
      </c>
      <c r="F6" s="22">
        <v>880000</v>
      </c>
      <c r="G6" s="4">
        <v>0.47</v>
      </c>
      <c r="H6">
        <f t="shared" si="0"/>
        <v>29</v>
      </c>
    </row>
  </sheetData>
  <sortState xmlns:xlrd2="http://schemas.microsoft.com/office/spreadsheetml/2017/richdata2" ref="A2:H6">
    <sortCondition ref="B2:B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280FB-C648-4FCE-ACC8-08479B00C8FB}">
  <sheetPr codeName="Sheet1"/>
  <dimension ref="A1:D7"/>
  <sheetViews>
    <sheetView workbookViewId="0">
      <selection activeCell="B16" sqref="B16"/>
    </sheetView>
  </sheetViews>
  <sheetFormatPr defaultRowHeight="14.4" x14ac:dyDescent="0.3"/>
  <cols>
    <col min="1" max="1" width="12.5546875" bestFit="1" customWidth="1"/>
    <col min="2" max="2" width="25.77734375" bestFit="1" customWidth="1"/>
    <col min="3" max="3" width="11" bestFit="1" customWidth="1"/>
    <col min="4" max="6" width="12" bestFit="1" customWidth="1"/>
  </cols>
  <sheetData>
    <row r="1" spans="1:4" ht="35.4" customHeight="1" x14ac:dyDescent="0.3">
      <c r="A1" s="56" t="s">
        <v>386</v>
      </c>
      <c r="B1" s="57"/>
      <c r="C1" s="57"/>
      <c r="D1" s="57"/>
    </row>
    <row r="3" spans="1:4" x14ac:dyDescent="0.3">
      <c r="A3" s="51" t="s">
        <v>47</v>
      </c>
      <c r="B3" s="52" t="s">
        <v>43</v>
      </c>
    </row>
    <row r="4" spans="1:4" x14ac:dyDescent="0.3">
      <c r="A4" s="18" t="str" cm="1">
        <f t="array" ref="A4:A7">_xlfn.UNIQUE(Platform)</f>
        <v>Instagram</v>
      </c>
      <c r="B4" s="50">
        <f>AVERAGEIF(Posts!Platform,'Task 2.1'!A4,Posts!Engagement_Rate)</f>
        <v>0.1182887034578763</v>
      </c>
    </row>
    <row r="5" spans="1:4" x14ac:dyDescent="0.3">
      <c r="A5" s="18" t="str">
        <v>Twitter</v>
      </c>
      <c r="B5" s="50">
        <f>AVERAGEIF(Posts!Platform,'Task 2.1'!A5,Posts!Engagement_Rate)</f>
        <v>0.13978857334012029</v>
      </c>
    </row>
    <row r="6" spans="1:4" x14ac:dyDescent="0.3">
      <c r="A6" s="18" t="str">
        <v>YouTube</v>
      </c>
      <c r="B6" s="50">
        <f>AVERAGEIF(Posts!Platform,'Task 2.1'!A6,Posts!Engagement_Rate)</f>
        <v>0.10817233920370867</v>
      </c>
    </row>
    <row r="7" spans="1:4" x14ac:dyDescent="0.3">
      <c r="A7" s="18" t="str">
        <v>LinkedIn</v>
      </c>
      <c r="B7" s="50">
        <f>AVERAGEIF(Posts!Platform,'Task 2.1'!A7,Posts!Engagement_Rate)</f>
        <v>0.12495642964347688</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BE2DA-57B4-4871-ADC3-141D6612A831}">
  <sheetPr codeName="Sheet2"/>
  <dimension ref="A1:D13"/>
  <sheetViews>
    <sheetView workbookViewId="0">
      <selection activeCell="I22" sqref="I22"/>
    </sheetView>
  </sheetViews>
  <sheetFormatPr defaultRowHeight="14.4" x14ac:dyDescent="0.3"/>
  <cols>
    <col min="1" max="1" width="12.5546875" bestFit="1" customWidth="1"/>
    <col min="2" max="2" width="25.77734375" bestFit="1" customWidth="1"/>
  </cols>
  <sheetData>
    <row r="1" spans="1:4" ht="15.6" x14ac:dyDescent="0.3">
      <c r="A1" s="57" t="s">
        <v>387</v>
      </c>
      <c r="B1" s="57"/>
      <c r="C1" s="57"/>
      <c r="D1" s="57"/>
    </row>
    <row r="3" spans="1:4" x14ac:dyDescent="0.3">
      <c r="A3" s="1" t="s">
        <v>0</v>
      </c>
      <c r="B3" t="s">
        <v>43</v>
      </c>
    </row>
    <row r="4" spans="1:4" x14ac:dyDescent="0.3">
      <c r="A4" s="2" t="s">
        <v>42</v>
      </c>
      <c r="B4" s="11">
        <v>0.49054105563022848</v>
      </c>
    </row>
    <row r="5" spans="1:4" x14ac:dyDescent="0.3">
      <c r="A5" s="2" t="s">
        <v>38</v>
      </c>
      <c r="B5" s="11">
        <v>0.48803915290673738</v>
      </c>
    </row>
    <row r="6" spans="1:4" x14ac:dyDescent="0.3">
      <c r="A6" s="2" t="s">
        <v>33</v>
      </c>
      <c r="B6" s="11">
        <v>0.454928065278076</v>
      </c>
    </row>
    <row r="7" spans="1:4" x14ac:dyDescent="0.3">
      <c r="A7" s="2" t="s">
        <v>35</v>
      </c>
      <c r="B7" s="11">
        <v>0.41655672298962027</v>
      </c>
    </row>
    <row r="8" spans="1:4" x14ac:dyDescent="0.3">
      <c r="A8" s="2" t="s">
        <v>36</v>
      </c>
      <c r="B8" s="11">
        <v>0.40382152376337016</v>
      </c>
    </row>
    <row r="9" spans="1:4" x14ac:dyDescent="0.3">
      <c r="A9" s="2" t="s">
        <v>34</v>
      </c>
      <c r="B9" s="11">
        <v>0.39401343921808185</v>
      </c>
    </row>
    <row r="10" spans="1:4" x14ac:dyDescent="0.3">
      <c r="A10" s="2" t="s">
        <v>41</v>
      </c>
      <c r="B10" s="11">
        <v>0.36764099509781462</v>
      </c>
    </row>
    <row r="11" spans="1:4" x14ac:dyDescent="0.3">
      <c r="A11" s="2" t="s">
        <v>39</v>
      </c>
      <c r="B11" s="11">
        <v>0.35412345125301342</v>
      </c>
    </row>
    <row r="12" spans="1:4" x14ac:dyDescent="0.3">
      <c r="A12" s="2" t="s">
        <v>40</v>
      </c>
      <c r="B12" s="11">
        <v>0.33944448049841003</v>
      </c>
    </row>
    <row r="13" spans="1:4" x14ac:dyDescent="0.3">
      <c r="A13" s="2" t="s">
        <v>37</v>
      </c>
      <c r="B13" s="11">
        <v>0.33811899081905589</v>
      </c>
    </row>
  </sheetData>
  <mergeCells count="1">
    <mergeCell ref="A1:D1"/>
  </mergeCells>
  <conditionalFormatting sqref="B3">
    <cfRule type="top10" dxfId="3" priority="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C47B0-E12F-4B11-BCC4-E77A7C0CBCA3}">
  <sheetPr codeName="Sheet3"/>
  <dimension ref="A1:H24"/>
  <sheetViews>
    <sheetView workbookViewId="0">
      <selection activeCell="B13" sqref="B13"/>
    </sheetView>
  </sheetViews>
  <sheetFormatPr defaultRowHeight="14.4" x14ac:dyDescent="0.3"/>
  <cols>
    <col min="1" max="1" width="12.5546875" bestFit="1" customWidth="1"/>
    <col min="2" max="2" width="11.5546875" bestFit="1" customWidth="1"/>
    <col min="3" max="3" width="13.109375" bestFit="1" customWidth="1"/>
    <col min="4" max="4" width="16.6640625" bestFit="1" customWidth="1"/>
    <col min="5" max="5" width="8" bestFit="1" customWidth="1"/>
    <col min="6" max="6" width="13.109375" bestFit="1" customWidth="1"/>
    <col min="7" max="9" width="7" bestFit="1" customWidth="1"/>
    <col min="10" max="10" width="16.6640625" bestFit="1" customWidth="1"/>
    <col min="11" max="11" width="6.21875" bestFit="1" customWidth="1"/>
    <col min="12" max="12" width="6.109375" bestFit="1" customWidth="1"/>
    <col min="13" max="13" width="6" bestFit="1" customWidth="1"/>
    <col min="14" max="14" width="16.33203125" bestFit="1" customWidth="1"/>
    <col min="15" max="15" width="17.88671875" bestFit="1" customWidth="1"/>
    <col min="16" max="16" width="21.5546875" bestFit="1" customWidth="1"/>
    <col min="17" max="48" width="16.6640625" bestFit="1" customWidth="1"/>
    <col min="49" max="49" width="16.33203125" bestFit="1" customWidth="1"/>
    <col min="50" max="50" width="17.88671875" bestFit="1" customWidth="1"/>
    <col min="51" max="51" width="21.5546875" bestFit="1" customWidth="1"/>
  </cols>
  <sheetData>
    <row r="1" spans="1:8" ht="15.6" x14ac:dyDescent="0.3">
      <c r="A1" s="57" t="s">
        <v>388</v>
      </c>
      <c r="B1" s="57"/>
      <c r="C1" s="57"/>
      <c r="D1" s="57"/>
      <c r="E1" s="57"/>
      <c r="F1" s="57"/>
      <c r="G1" s="57"/>
      <c r="H1" s="57"/>
    </row>
    <row r="3" spans="1:8" x14ac:dyDescent="0.3">
      <c r="A3" s="1" t="s">
        <v>0</v>
      </c>
      <c r="B3" t="s">
        <v>24</v>
      </c>
      <c r="C3" t="s">
        <v>22</v>
      </c>
      <c r="D3" t="s">
        <v>23</v>
      </c>
    </row>
    <row r="4" spans="1:8" x14ac:dyDescent="0.3">
      <c r="A4" s="2" t="s">
        <v>29</v>
      </c>
    </row>
    <row r="5" spans="1:8" x14ac:dyDescent="0.3">
      <c r="A5" s="3" t="s">
        <v>25</v>
      </c>
      <c r="B5">
        <v>494652</v>
      </c>
      <c r="C5">
        <v>30544</v>
      </c>
      <c r="D5">
        <v>24544</v>
      </c>
    </row>
    <row r="6" spans="1:8" x14ac:dyDescent="0.3">
      <c r="A6" s="3" t="s">
        <v>26</v>
      </c>
      <c r="B6">
        <v>394233</v>
      </c>
      <c r="C6">
        <v>33741</v>
      </c>
      <c r="D6">
        <v>19677</v>
      </c>
    </row>
    <row r="7" spans="1:8" x14ac:dyDescent="0.3">
      <c r="A7" s="3" t="s">
        <v>27</v>
      </c>
      <c r="B7">
        <v>409260</v>
      </c>
      <c r="C7">
        <v>28708</v>
      </c>
      <c r="D7">
        <v>17688</v>
      </c>
    </row>
    <row r="8" spans="1:8" x14ac:dyDescent="0.3">
      <c r="A8" s="3" t="s">
        <v>28</v>
      </c>
      <c r="B8">
        <v>430981</v>
      </c>
      <c r="C8">
        <v>22943</v>
      </c>
      <c r="D8">
        <v>13335</v>
      </c>
    </row>
    <row r="9" spans="1:8" x14ac:dyDescent="0.3">
      <c r="A9" s="2" t="s">
        <v>30</v>
      </c>
    </row>
    <row r="10" spans="1:8" x14ac:dyDescent="0.3">
      <c r="A10" s="3" t="s">
        <v>25</v>
      </c>
      <c r="B10">
        <v>450340</v>
      </c>
      <c r="C10">
        <v>34985</v>
      </c>
      <c r="D10">
        <v>22476</v>
      </c>
    </row>
    <row r="11" spans="1:8" x14ac:dyDescent="0.3">
      <c r="A11" s="3" t="s">
        <v>26</v>
      </c>
      <c r="B11">
        <v>604302</v>
      </c>
      <c r="C11">
        <v>38355</v>
      </c>
      <c r="D11">
        <v>26447</v>
      </c>
    </row>
    <row r="12" spans="1:8" x14ac:dyDescent="0.3">
      <c r="A12" s="3" t="s">
        <v>27</v>
      </c>
      <c r="B12">
        <v>549235</v>
      </c>
      <c r="C12">
        <v>34597</v>
      </c>
      <c r="D12">
        <v>21790</v>
      </c>
    </row>
    <row r="13" spans="1:8" x14ac:dyDescent="0.3">
      <c r="A13" s="3" t="s">
        <v>28</v>
      </c>
      <c r="B13">
        <v>557518</v>
      </c>
      <c r="C13">
        <v>28472</v>
      </c>
      <c r="D13">
        <v>23540</v>
      </c>
    </row>
    <row r="14" spans="1:8" x14ac:dyDescent="0.3">
      <c r="A14" s="2" t="s">
        <v>31</v>
      </c>
    </row>
    <row r="15" spans="1:8" x14ac:dyDescent="0.3">
      <c r="A15" s="3" t="s">
        <v>25</v>
      </c>
      <c r="B15">
        <v>763475</v>
      </c>
      <c r="C15">
        <v>41158</v>
      </c>
      <c r="D15">
        <v>27000</v>
      </c>
    </row>
    <row r="16" spans="1:8" x14ac:dyDescent="0.3">
      <c r="A16" s="3" t="s">
        <v>26</v>
      </c>
      <c r="B16">
        <v>286840</v>
      </c>
      <c r="C16">
        <v>14467</v>
      </c>
      <c r="D16">
        <v>11640</v>
      </c>
    </row>
    <row r="17" spans="1:4" x14ac:dyDescent="0.3">
      <c r="A17" s="3" t="s">
        <v>27</v>
      </c>
      <c r="B17">
        <v>469305</v>
      </c>
      <c r="C17">
        <v>29067</v>
      </c>
      <c r="D17">
        <v>16683</v>
      </c>
    </row>
    <row r="18" spans="1:4" x14ac:dyDescent="0.3">
      <c r="A18" s="3" t="s">
        <v>28</v>
      </c>
      <c r="B18">
        <v>475278</v>
      </c>
      <c r="C18">
        <v>28325</v>
      </c>
      <c r="D18">
        <v>18843</v>
      </c>
    </row>
    <row r="19" spans="1:4" x14ac:dyDescent="0.3">
      <c r="A19" s="2" t="s">
        <v>32</v>
      </c>
    </row>
    <row r="20" spans="1:4" x14ac:dyDescent="0.3">
      <c r="A20" s="3" t="s">
        <v>25</v>
      </c>
      <c r="B20">
        <v>542975</v>
      </c>
      <c r="C20">
        <v>48941</v>
      </c>
      <c r="D20">
        <v>27078</v>
      </c>
    </row>
    <row r="21" spans="1:4" x14ac:dyDescent="0.3">
      <c r="A21" s="3" t="s">
        <v>26</v>
      </c>
      <c r="B21">
        <v>368191</v>
      </c>
      <c r="C21">
        <v>18852</v>
      </c>
      <c r="D21">
        <v>15346</v>
      </c>
    </row>
    <row r="22" spans="1:4" x14ac:dyDescent="0.3">
      <c r="A22" s="3" t="s">
        <v>27</v>
      </c>
      <c r="B22">
        <v>336691</v>
      </c>
      <c r="C22">
        <v>26788</v>
      </c>
      <c r="D22">
        <v>14736</v>
      </c>
    </row>
    <row r="23" spans="1:4" x14ac:dyDescent="0.3">
      <c r="A23" s="3" t="s">
        <v>28</v>
      </c>
      <c r="B23">
        <v>554354</v>
      </c>
      <c r="C23">
        <v>35880</v>
      </c>
      <c r="D23">
        <v>24112</v>
      </c>
    </row>
    <row r="24" spans="1:4" x14ac:dyDescent="0.3">
      <c r="A24" s="2" t="s">
        <v>20</v>
      </c>
      <c r="B24">
        <v>7687630</v>
      </c>
      <c r="C24">
        <v>495823</v>
      </c>
      <c r="D24">
        <v>324935</v>
      </c>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76A8-8250-4DD9-A35F-36F8EBF5CB92}">
  <sheetPr codeName="Sheet4"/>
  <dimension ref="A1:E22"/>
  <sheetViews>
    <sheetView topLeftCell="A2" workbookViewId="0">
      <selection activeCell="E17" sqref="E17"/>
    </sheetView>
  </sheetViews>
  <sheetFormatPr defaultRowHeight="14.4" x14ac:dyDescent="0.3"/>
  <cols>
    <col min="1" max="1" width="18.109375" bestFit="1" customWidth="1"/>
    <col min="2" max="2" width="15.33203125" bestFit="1" customWidth="1"/>
    <col min="3" max="3" width="12" bestFit="1" customWidth="1"/>
    <col min="4" max="4" width="11.6640625" bestFit="1" customWidth="1"/>
    <col min="5" max="5" width="16.21875" bestFit="1" customWidth="1"/>
    <col min="6" max="6" width="13.88671875" bestFit="1" customWidth="1"/>
    <col min="7" max="7" width="12" bestFit="1" customWidth="1"/>
    <col min="8" max="8" width="12.33203125" bestFit="1" customWidth="1"/>
    <col min="9" max="9" width="17.6640625" bestFit="1" customWidth="1"/>
    <col min="10" max="10" width="12" bestFit="1" customWidth="1"/>
    <col min="11" max="11" width="11.44140625" bestFit="1" customWidth="1"/>
    <col min="12" max="12" width="11.21875" bestFit="1" customWidth="1"/>
    <col min="13" max="13" width="12" bestFit="1" customWidth="1"/>
    <col min="14" max="14" width="10" bestFit="1" customWidth="1"/>
    <col min="15" max="15" width="16.109375" bestFit="1" customWidth="1"/>
    <col min="16" max="16" width="19.109375" bestFit="1" customWidth="1"/>
    <col min="17" max="17" width="15.21875" bestFit="1" customWidth="1"/>
    <col min="18" max="18" width="15.77734375" bestFit="1" customWidth="1"/>
    <col min="19" max="19" width="14.33203125" bestFit="1" customWidth="1"/>
    <col min="20" max="20" width="13.33203125" bestFit="1" customWidth="1"/>
    <col min="21" max="21" width="7.44140625" bestFit="1" customWidth="1"/>
    <col min="22" max="22" width="12.33203125" bestFit="1" customWidth="1"/>
    <col min="23" max="23" width="7.44140625" bestFit="1" customWidth="1"/>
    <col min="24" max="24" width="11.6640625" bestFit="1" customWidth="1"/>
    <col min="25" max="25" width="8.5546875" bestFit="1" customWidth="1"/>
    <col min="26" max="26" width="12.33203125" bestFit="1" customWidth="1"/>
    <col min="27" max="27" width="7.44140625" bestFit="1" customWidth="1"/>
    <col min="28" max="28" width="14.33203125" bestFit="1" customWidth="1"/>
    <col min="29" max="29" width="16.21875" bestFit="1" customWidth="1"/>
    <col min="30" max="30" width="15.21875" bestFit="1" customWidth="1"/>
    <col min="31" max="31" width="19.109375" bestFit="1" customWidth="1"/>
    <col min="32" max="32" width="14.33203125" bestFit="1" customWidth="1"/>
    <col min="33" max="33" width="12.44140625" bestFit="1" customWidth="1"/>
    <col min="34" max="34" width="11.21875" bestFit="1" customWidth="1"/>
    <col min="35" max="35" width="17.6640625" bestFit="1" customWidth="1"/>
    <col min="36" max="36" width="11.44140625" bestFit="1" customWidth="1"/>
    <col min="37" max="37" width="12.33203125" bestFit="1" customWidth="1"/>
    <col min="38" max="38" width="7.44140625" bestFit="1" customWidth="1"/>
    <col min="39" max="39" width="11.6640625" bestFit="1" customWidth="1"/>
    <col min="40" max="40" width="9.88671875" bestFit="1" customWidth="1"/>
    <col min="41" max="41" width="14.33203125" bestFit="1" customWidth="1"/>
    <col min="42" max="42" width="11.33203125" bestFit="1" customWidth="1"/>
    <col min="43" max="43" width="13.33203125" bestFit="1" customWidth="1"/>
    <col min="44" max="44" width="16.21875" bestFit="1" customWidth="1"/>
    <col min="45" max="45" width="15.21875" bestFit="1" customWidth="1"/>
    <col min="46" max="46" width="11.6640625" bestFit="1" customWidth="1"/>
    <col min="47" max="47" width="8.5546875" bestFit="1" customWidth="1"/>
    <col min="48" max="48" width="17.6640625" bestFit="1" customWidth="1"/>
    <col min="49" max="49" width="11.44140625" bestFit="1" customWidth="1"/>
    <col min="50" max="50" width="19.109375" bestFit="1" customWidth="1"/>
    <col min="51" max="51" width="14.33203125" bestFit="1" customWidth="1"/>
    <col min="52" max="52" width="11.6640625" bestFit="1" customWidth="1"/>
    <col min="53" max="53" width="9.88671875" bestFit="1" customWidth="1"/>
    <col min="54" max="54" width="19.109375" bestFit="1" customWidth="1"/>
    <col min="55" max="55" width="14.33203125" bestFit="1" customWidth="1"/>
    <col min="56" max="56" width="17.6640625" bestFit="1" customWidth="1"/>
    <col min="57" max="57" width="11.44140625" bestFit="1" customWidth="1"/>
    <col min="58" max="58" width="12.33203125" bestFit="1" customWidth="1"/>
    <col min="59" max="59" width="7.44140625" bestFit="1" customWidth="1"/>
    <col min="60" max="60" width="11.6640625" bestFit="1" customWidth="1"/>
    <col min="61" max="61" width="9.88671875" bestFit="1" customWidth="1"/>
    <col min="62" max="62" width="19.109375" bestFit="1" customWidth="1"/>
    <col min="63" max="63" width="14.33203125" bestFit="1" customWidth="1"/>
    <col min="64" max="64" width="11.6640625" bestFit="1" customWidth="1"/>
    <col min="65" max="65" width="8.5546875" bestFit="1" customWidth="1"/>
    <col min="66" max="66" width="13.88671875" bestFit="1" customWidth="1"/>
    <col min="67" max="67" width="11.88671875" bestFit="1" customWidth="1"/>
    <col min="68" max="68" width="16.21875" bestFit="1" customWidth="1"/>
    <col min="69" max="69" width="15.21875" bestFit="1" customWidth="1"/>
    <col min="70" max="70" width="11.6640625" bestFit="1" customWidth="1"/>
    <col min="71" max="71" width="16.109375" bestFit="1" customWidth="1"/>
    <col min="72" max="72" width="16.21875" bestFit="1" customWidth="1"/>
    <col min="73" max="73" width="15.21875" bestFit="1" customWidth="1"/>
    <col min="74" max="74" width="17.6640625" bestFit="1" customWidth="1"/>
    <col min="75" max="75" width="11.44140625" bestFit="1" customWidth="1"/>
    <col min="76" max="76" width="14.33203125" bestFit="1" customWidth="1"/>
    <col min="77" max="77" width="11.6640625" bestFit="1" customWidth="1"/>
    <col min="78" max="78" width="16.109375" bestFit="1" customWidth="1"/>
    <col min="79" max="79" width="12.44140625" bestFit="1" customWidth="1"/>
    <col min="80" max="80" width="11.21875" bestFit="1" customWidth="1"/>
    <col min="81" max="81" width="11.6640625" bestFit="1" customWidth="1"/>
    <col min="82" max="82" width="8.5546875" bestFit="1" customWidth="1"/>
    <col min="83" max="83" width="12.44140625" bestFit="1" customWidth="1"/>
    <col min="84" max="84" width="11.21875" bestFit="1" customWidth="1"/>
    <col min="85" max="85" width="11.6640625" bestFit="1" customWidth="1"/>
    <col min="86" max="86" width="9.88671875" bestFit="1" customWidth="1"/>
    <col min="87" max="87" width="12.33203125" bestFit="1" customWidth="1"/>
    <col min="88" max="88" width="7.44140625" bestFit="1" customWidth="1"/>
    <col min="89" max="89" width="13.88671875" bestFit="1" customWidth="1"/>
    <col min="90" max="90" width="11.88671875" bestFit="1" customWidth="1"/>
    <col min="91" max="91" width="11.6640625" bestFit="1" customWidth="1"/>
    <col min="92" max="92" width="16.109375" bestFit="1" customWidth="1"/>
    <col min="93" max="93" width="12.44140625" bestFit="1" customWidth="1"/>
    <col min="94" max="94" width="11.21875" bestFit="1" customWidth="1"/>
    <col min="95" max="95" width="12.44140625" bestFit="1" customWidth="1"/>
    <col min="96" max="96" width="11.21875" bestFit="1" customWidth="1"/>
    <col min="97" max="97" width="19.109375" bestFit="1" customWidth="1"/>
    <col min="98" max="98" width="14.33203125" bestFit="1" customWidth="1"/>
    <col min="99" max="99" width="16.21875" bestFit="1" customWidth="1"/>
    <col min="100" max="100" width="15.21875" bestFit="1" customWidth="1"/>
    <col min="101" max="101" width="19.109375" bestFit="1" customWidth="1"/>
    <col min="102" max="102" width="14.33203125" bestFit="1" customWidth="1"/>
    <col min="103" max="103" width="11.6640625" bestFit="1" customWidth="1"/>
    <col min="104" max="104" width="16.109375" bestFit="1" customWidth="1"/>
    <col min="105" max="105" width="11.6640625" bestFit="1" customWidth="1"/>
    <col min="106" max="106" width="16.109375" bestFit="1" customWidth="1"/>
    <col min="107" max="107" width="17.6640625" bestFit="1" customWidth="1"/>
    <col min="108" max="108" width="11.44140625" bestFit="1" customWidth="1"/>
    <col min="109" max="109" width="12.44140625" bestFit="1" customWidth="1"/>
    <col min="110" max="110" width="11.21875" bestFit="1" customWidth="1"/>
    <col min="111" max="111" width="19.109375" bestFit="1" customWidth="1"/>
    <col min="112" max="112" width="14.33203125" bestFit="1" customWidth="1"/>
    <col min="113" max="113" width="15.77734375" bestFit="1" customWidth="1"/>
    <col min="114" max="114" width="11.33203125" bestFit="1" customWidth="1"/>
    <col min="115" max="115" width="13.33203125" bestFit="1" customWidth="1"/>
    <col min="116" max="116" width="16.21875" bestFit="1" customWidth="1"/>
    <col min="117" max="117" width="15.21875" bestFit="1" customWidth="1"/>
    <col min="118" max="118" width="11.6640625" bestFit="1" customWidth="1"/>
    <col min="119" max="119" width="16.109375" bestFit="1" customWidth="1"/>
    <col min="120" max="120" width="17.6640625" bestFit="1" customWidth="1"/>
    <col min="121" max="121" width="11.44140625" bestFit="1" customWidth="1"/>
    <col min="122" max="122" width="13.88671875" bestFit="1" customWidth="1"/>
    <col min="123" max="123" width="11.88671875" bestFit="1" customWidth="1"/>
    <col min="124" max="124" width="19.109375" bestFit="1" customWidth="1"/>
    <col min="125" max="125" width="14.33203125" bestFit="1" customWidth="1"/>
    <col min="126" max="126" width="16.21875" bestFit="1" customWidth="1"/>
    <col min="127" max="127" width="15.21875" bestFit="1" customWidth="1"/>
    <col min="128" max="128" width="13.88671875" bestFit="1" customWidth="1"/>
    <col min="129" max="129" width="11.88671875" bestFit="1" customWidth="1"/>
    <col min="130" max="130" width="12.33203125" bestFit="1" customWidth="1"/>
    <col min="131" max="131" width="7.44140625" bestFit="1" customWidth="1"/>
    <col min="132" max="132" width="19.109375" bestFit="1" customWidth="1"/>
    <col min="133" max="133" width="14.33203125" bestFit="1" customWidth="1"/>
    <col min="134" max="134" width="12.44140625" bestFit="1" customWidth="1"/>
    <col min="135" max="135" width="11.21875" bestFit="1" customWidth="1"/>
    <col min="136" max="136" width="13.88671875" bestFit="1" customWidth="1"/>
    <col min="137" max="137" width="11.88671875" bestFit="1" customWidth="1"/>
    <col min="138" max="138" width="17.6640625" bestFit="1" customWidth="1"/>
    <col min="139" max="139" width="11.44140625" bestFit="1" customWidth="1"/>
    <col min="140" max="140" width="16.21875" bestFit="1" customWidth="1"/>
    <col min="141" max="141" width="15.21875" bestFit="1" customWidth="1"/>
    <col min="142" max="142" width="12.33203125" bestFit="1" customWidth="1"/>
    <col min="143" max="143" width="7.44140625" bestFit="1" customWidth="1"/>
    <col min="144" max="144" width="11.6640625" bestFit="1" customWidth="1"/>
    <col min="145" max="145" width="9.88671875" bestFit="1" customWidth="1"/>
    <col min="146" max="146" width="11.6640625" bestFit="1" customWidth="1"/>
    <col min="147" max="147" width="9.88671875" bestFit="1" customWidth="1"/>
    <col min="148" max="148" width="16.21875" bestFit="1" customWidth="1"/>
    <col min="149" max="149" width="15.21875" bestFit="1" customWidth="1"/>
    <col min="150" max="150" width="13.88671875" bestFit="1" customWidth="1"/>
    <col min="151" max="151" width="11.88671875" bestFit="1" customWidth="1"/>
    <col min="152" max="152" width="11.6640625" bestFit="1" customWidth="1"/>
    <col min="153" max="153" width="9.88671875" bestFit="1" customWidth="1"/>
    <col min="154" max="154" width="19.109375" bestFit="1" customWidth="1"/>
    <col min="155" max="155" width="14.33203125" bestFit="1" customWidth="1"/>
    <col min="156" max="156" width="17.6640625" bestFit="1" customWidth="1"/>
    <col min="157" max="157" width="11.44140625" bestFit="1" customWidth="1"/>
    <col min="158" max="158" width="11.33203125" bestFit="1" customWidth="1"/>
    <col min="159" max="159" width="13.33203125" bestFit="1" customWidth="1"/>
    <col min="160" max="160" width="11.6640625" bestFit="1" customWidth="1"/>
    <col min="161" max="161" width="9.88671875" bestFit="1" customWidth="1"/>
    <col min="162" max="162" width="17.6640625" bestFit="1" customWidth="1"/>
    <col min="163" max="163" width="11.44140625" bestFit="1" customWidth="1"/>
    <col min="164" max="164" width="11.6640625" bestFit="1" customWidth="1"/>
    <col min="165" max="165" width="9.88671875" bestFit="1" customWidth="1"/>
    <col min="166" max="166" width="12.44140625" bestFit="1" customWidth="1"/>
    <col min="167" max="167" width="11.21875" bestFit="1" customWidth="1"/>
    <col min="168" max="168" width="19.109375" bestFit="1" customWidth="1"/>
    <col min="169" max="169" width="14.33203125" bestFit="1" customWidth="1"/>
    <col min="170" max="170" width="12.44140625" bestFit="1" customWidth="1"/>
    <col min="171" max="171" width="11.21875" bestFit="1" customWidth="1"/>
    <col min="172" max="172" width="11.6640625" bestFit="1" customWidth="1"/>
    <col min="173" max="173" width="9.88671875" bestFit="1" customWidth="1"/>
    <col min="174" max="174" width="12.33203125" bestFit="1" customWidth="1"/>
    <col min="175" max="175" width="7.44140625" bestFit="1" customWidth="1"/>
    <col min="176" max="176" width="12.33203125" bestFit="1" customWidth="1"/>
    <col min="177" max="177" width="7.44140625" bestFit="1" customWidth="1"/>
    <col min="178" max="178" width="12.33203125" bestFit="1" customWidth="1"/>
    <col min="179" max="179" width="7.44140625" bestFit="1" customWidth="1"/>
    <col min="180" max="180" width="12.44140625" bestFit="1" customWidth="1"/>
    <col min="181" max="181" width="11.21875" bestFit="1" customWidth="1"/>
    <col min="182" max="182" width="12.33203125" bestFit="1" customWidth="1"/>
    <col min="183" max="183" width="7.44140625" bestFit="1" customWidth="1"/>
    <col min="184" max="184" width="11.6640625" bestFit="1" customWidth="1"/>
    <col min="185" max="185" width="9.88671875" bestFit="1" customWidth="1"/>
    <col min="186" max="186" width="16.21875" bestFit="1" customWidth="1"/>
    <col min="187" max="187" width="15.21875" bestFit="1" customWidth="1"/>
    <col min="188" max="188" width="12.44140625" bestFit="1" customWidth="1"/>
    <col min="189" max="189" width="11.21875" bestFit="1" customWidth="1"/>
    <col min="190" max="190" width="11.33203125" bestFit="1" customWidth="1"/>
    <col min="191" max="191" width="13.33203125" bestFit="1" customWidth="1"/>
    <col min="192" max="192" width="11.33203125" bestFit="1" customWidth="1"/>
    <col min="193" max="193" width="13.33203125" bestFit="1" customWidth="1"/>
    <col min="194" max="194" width="14.33203125" bestFit="1" customWidth="1"/>
    <col min="195" max="195" width="11.6640625" bestFit="1" customWidth="1"/>
    <col min="196" max="196" width="9.88671875" bestFit="1" customWidth="1"/>
    <col min="197" max="197" width="13.88671875" bestFit="1" customWidth="1"/>
    <col min="198" max="198" width="11.88671875" bestFit="1" customWidth="1"/>
    <col min="199" max="199" width="19.109375" bestFit="1" customWidth="1"/>
    <col min="200" max="200" width="14.33203125" bestFit="1" customWidth="1"/>
    <col min="201" max="201" width="12.33203125" bestFit="1" customWidth="1"/>
    <col min="202" max="202" width="7.44140625" bestFit="1" customWidth="1"/>
    <col min="203" max="203" width="12.33203125" bestFit="1" customWidth="1"/>
    <col min="204" max="204" width="7.44140625" bestFit="1" customWidth="1"/>
    <col min="205" max="205" width="13.88671875" bestFit="1" customWidth="1"/>
    <col min="206" max="206" width="11.88671875" bestFit="1" customWidth="1"/>
    <col min="207" max="207" width="11.6640625" bestFit="1" customWidth="1"/>
    <col min="208" max="208" width="16.109375" bestFit="1" customWidth="1"/>
    <col min="209" max="209" width="15.77734375" bestFit="1" customWidth="1"/>
    <col min="210" max="210" width="12.44140625" bestFit="1" customWidth="1"/>
    <col min="211" max="211" width="11.21875" bestFit="1" customWidth="1"/>
    <col min="212" max="212" width="11.6640625" bestFit="1" customWidth="1"/>
    <col min="213" max="213" width="8.5546875" bestFit="1" customWidth="1"/>
    <col min="214" max="214" width="12.33203125" bestFit="1" customWidth="1"/>
    <col min="215" max="215" width="7.44140625" bestFit="1" customWidth="1"/>
    <col min="216" max="216" width="16.21875" bestFit="1" customWidth="1"/>
    <col min="217" max="217" width="15.21875" bestFit="1" customWidth="1"/>
    <col min="218" max="218" width="12.44140625" bestFit="1" customWidth="1"/>
    <col min="219" max="219" width="11.21875" bestFit="1" customWidth="1"/>
    <col min="220" max="220" width="19.109375" bestFit="1" customWidth="1"/>
    <col min="221" max="222" width="14.33203125" bestFit="1" customWidth="1"/>
    <col min="223" max="223" width="11.33203125" bestFit="1" customWidth="1"/>
    <col min="224" max="224" width="13.33203125" bestFit="1" customWidth="1"/>
    <col min="225" max="225" width="12.33203125" bestFit="1" customWidth="1"/>
    <col min="226" max="226" width="7.44140625" bestFit="1" customWidth="1"/>
    <col min="227" max="227" width="14.33203125" bestFit="1" customWidth="1"/>
    <col min="228" max="228" width="11.6640625" bestFit="1" customWidth="1"/>
    <col min="229" max="229" width="9.88671875" bestFit="1" customWidth="1"/>
    <col min="230" max="230" width="11.6640625" bestFit="1" customWidth="1"/>
    <col min="231" max="231" width="9.88671875" bestFit="1" customWidth="1"/>
    <col min="232" max="232" width="15.77734375" bestFit="1" customWidth="1"/>
    <col min="233" max="233" width="16.21875" bestFit="1" customWidth="1"/>
    <col min="234" max="234" width="15.21875" bestFit="1" customWidth="1"/>
    <col min="235" max="235" width="11.6640625" bestFit="1" customWidth="1"/>
    <col min="236" max="236" width="8.5546875" bestFit="1" customWidth="1"/>
    <col min="237" max="237" width="19.109375" bestFit="1" customWidth="1"/>
    <col min="238" max="238" width="14.33203125" bestFit="1" customWidth="1"/>
    <col min="239" max="239" width="11.6640625" bestFit="1" customWidth="1"/>
    <col min="240" max="240" width="16.109375" bestFit="1" customWidth="1"/>
    <col min="241" max="241" width="15.77734375" bestFit="1" customWidth="1"/>
    <col min="242" max="242" width="17.6640625" bestFit="1" customWidth="1"/>
    <col min="243" max="243" width="11.44140625" bestFit="1" customWidth="1"/>
    <col min="244" max="244" width="11.6640625" bestFit="1" customWidth="1"/>
    <col min="245" max="245" width="16.109375" bestFit="1" customWidth="1"/>
    <col min="246" max="246" width="12.44140625" bestFit="1" customWidth="1"/>
    <col min="247" max="247" width="11.21875" bestFit="1" customWidth="1"/>
    <col min="248" max="248" width="19.109375" bestFit="1" customWidth="1"/>
    <col min="249" max="249" width="14.33203125" bestFit="1" customWidth="1"/>
    <col min="250" max="250" width="17.6640625" bestFit="1" customWidth="1"/>
    <col min="251" max="251" width="11.44140625" bestFit="1" customWidth="1"/>
    <col min="252" max="252" width="17.6640625" bestFit="1" customWidth="1"/>
    <col min="253" max="253" width="11.44140625" bestFit="1" customWidth="1"/>
    <col min="254" max="254" width="15.77734375" bestFit="1" customWidth="1"/>
    <col min="255" max="255" width="13.88671875" bestFit="1" customWidth="1"/>
    <col min="256" max="256" width="11.88671875" bestFit="1" customWidth="1"/>
    <col min="257" max="257" width="13.88671875" bestFit="1" customWidth="1"/>
    <col min="258" max="258" width="11.88671875" bestFit="1" customWidth="1"/>
    <col min="259" max="259" width="16.21875" bestFit="1" customWidth="1"/>
    <col min="260" max="260" width="15.21875" bestFit="1" customWidth="1"/>
    <col min="261" max="261" width="13.88671875" bestFit="1" customWidth="1"/>
    <col min="262" max="262" width="11.88671875" bestFit="1" customWidth="1"/>
    <col min="263" max="263" width="15.77734375" bestFit="1" customWidth="1"/>
    <col min="264" max="264" width="12.44140625" bestFit="1" customWidth="1"/>
    <col min="265" max="265" width="11.21875" bestFit="1" customWidth="1"/>
    <col min="266" max="266" width="11.33203125" bestFit="1" customWidth="1"/>
    <col min="267" max="267" width="13.33203125" bestFit="1" customWidth="1"/>
    <col min="268" max="268" width="12.33203125" bestFit="1" customWidth="1"/>
    <col min="269" max="269" width="7.44140625" bestFit="1" customWidth="1"/>
    <col min="270" max="270" width="12.33203125" bestFit="1" customWidth="1"/>
    <col min="271" max="271" width="7.44140625" bestFit="1" customWidth="1"/>
    <col min="272" max="272" width="16.21875" bestFit="1" customWidth="1"/>
    <col min="273" max="273" width="15.21875" bestFit="1" customWidth="1"/>
    <col min="274" max="274" width="12.44140625" bestFit="1" customWidth="1"/>
    <col min="275" max="275" width="11.21875" bestFit="1" customWidth="1"/>
    <col min="276" max="276" width="16.21875" bestFit="1" customWidth="1"/>
    <col min="277" max="277" width="15.21875" bestFit="1" customWidth="1"/>
    <col min="278" max="278" width="11.6640625" bestFit="1" customWidth="1"/>
    <col min="279" max="279" width="9.88671875" bestFit="1" customWidth="1"/>
    <col min="280" max="280" width="14.33203125" bestFit="1" customWidth="1"/>
    <col min="281" max="281" width="13.88671875" bestFit="1" customWidth="1"/>
    <col min="282" max="282" width="11.88671875" bestFit="1" customWidth="1"/>
    <col min="283" max="283" width="12.33203125" bestFit="1" customWidth="1"/>
    <col min="284" max="284" width="7.44140625" bestFit="1" customWidth="1"/>
    <col min="285" max="285" width="17.6640625" bestFit="1" customWidth="1"/>
    <col min="286" max="286" width="11.44140625" bestFit="1" customWidth="1"/>
    <col min="287" max="287" width="13.88671875" bestFit="1" customWidth="1"/>
    <col min="288" max="288" width="11.88671875" bestFit="1" customWidth="1"/>
    <col min="289" max="289" width="11.6640625" bestFit="1" customWidth="1"/>
    <col min="290" max="290" width="8.5546875" bestFit="1" customWidth="1"/>
    <col min="291" max="291" width="19.109375" bestFit="1" customWidth="1"/>
    <col min="292" max="292" width="14.33203125" bestFit="1" customWidth="1"/>
    <col min="293" max="293" width="12.44140625" bestFit="1" customWidth="1"/>
    <col min="294" max="294" width="11.21875" bestFit="1" customWidth="1"/>
    <col min="295" max="295" width="11.6640625" bestFit="1" customWidth="1"/>
    <col min="296" max="296" width="16.109375" bestFit="1" customWidth="1"/>
    <col min="297" max="297" width="16.21875" bestFit="1" customWidth="1"/>
    <col min="298" max="298" width="15.21875" bestFit="1" customWidth="1"/>
    <col min="299" max="299" width="11.6640625" bestFit="1" customWidth="1"/>
    <col min="300" max="300" width="16.109375" bestFit="1" customWidth="1"/>
    <col min="301" max="301" width="13.88671875" bestFit="1" customWidth="1"/>
    <col min="302" max="302" width="11.88671875" bestFit="1" customWidth="1"/>
    <col min="303" max="303" width="19.109375" bestFit="1" customWidth="1"/>
    <col min="304" max="304" width="14.33203125" bestFit="1" customWidth="1"/>
    <col min="305" max="305" width="13.88671875" bestFit="1" customWidth="1"/>
    <col min="306" max="306" width="11.88671875" bestFit="1" customWidth="1"/>
    <col min="307" max="307" width="11.6640625" bestFit="1" customWidth="1"/>
    <col min="308" max="308" width="16.109375" bestFit="1" customWidth="1"/>
    <col min="309" max="309" width="19.109375" bestFit="1" customWidth="1"/>
    <col min="310" max="310" width="14.33203125" bestFit="1" customWidth="1"/>
    <col min="311" max="311" width="11.6640625" bestFit="1" customWidth="1"/>
    <col min="312" max="312" width="8.5546875" bestFit="1" customWidth="1"/>
    <col min="313" max="313" width="11.6640625" bestFit="1" customWidth="1"/>
    <col min="314" max="314" width="16.109375" bestFit="1" customWidth="1"/>
    <col min="315" max="315" width="15.77734375" bestFit="1" customWidth="1"/>
    <col min="316" max="316" width="11.6640625" bestFit="1" customWidth="1"/>
    <col min="317" max="317" width="9.88671875" bestFit="1" customWidth="1"/>
    <col min="318" max="318" width="15.77734375" bestFit="1" customWidth="1"/>
    <col min="319" max="319" width="12.33203125" bestFit="1" customWidth="1"/>
    <col min="320" max="320" width="7.44140625" bestFit="1" customWidth="1"/>
    <col min="321" max="321" width="12.33203125" bestFit="1" customWidth="1"/>
    <col min="322" max="322" width="7.44140625" bestFit="1" customWidth="1"/>
    <col min="323" max="323" width="13.88671875" bestFit="1" customWidth="1"/>
    <col min="324" max="324" width="11.88671875" bestFit="1" customWidth="1"/>
    <col min="325" max="325" width="11.6640625" bestFit="1" customWidth="1"/>
    <col min="326" max="326" width="9.88671875" bestFit="1" customWidth="1"/>
    <col min="327" max="327" width="15.77734375" bestFit="1" customWidth="1"/>
    <col min="328" max="328" width="11.6640625" bestFit="1" customWidth="1"/>
    <col min="329" max="329" width="9.88671875" bestFit="1" customWidth="1"/>
    <col min="330" max="330" width="11.33203125" bestFit="1" customWidth="1"/>
    <col min="331" max="331" width="13.33203125" bestFit="1" customWidth="1"/>
    <col min="332" max="332" width="13.88671875" bestFit="1" customWidth="1"/>
    <col min="333" max="333" width="11.88671875" bestFit="1" customWidth="1"/>
    <col min="334" max="334" width="11.6640625" bestFit="1" customWidth="1"/>
    <col min="335" max="335" width="9.88671875" bestFit="1" customWidth="1"/>
    <col min="336" max="336" width="17.6640625" bestFit="1" customWidth="1"/>
    <col min="337" max="337" width="11.44140625" bestFit="1" customWidth="1"/>
    <col min="338" max="338" width="16.21875" bestFit="1" customWidth="1"/>
    <col min="339" max="339" width="15.21875" bestFit="1" customWidth="1"/>
    <col min="340" max="340" width="12.33203125" bestFit="1" customWidth="1"/>
    <col min="341" max="341" width="7.44140625" bestFit="1" customWidth="1"/>
    <col min="342" max="342" width="16.21875" bestFit="1" customWidth="1"/>
    <col min="343" max="343" width="15.21875" bestFit="1" customWidth="1"/>
    <col min="344" max="344" width="17.6640625" bestFit="1" customWidth="1"/>
    <col min="345" max="345" width="11.44140625" bestFit="1" customWidth="1"/>
    <col min="346" max="346" width="19.109375" bestFit="1" customWidth="1"/>
    <col min="347" max="348" width="14.33203125" bestFit="1" customWidth="1"/>
    <col min="349" max="349" width="19.109375" bestFit="1" customWidth="1"/>
    <col min="350" max="350" width="14.33203125" bestFit="1" customWidth="1"/>
    <col min="351" max="351" width="11.6640625" bestFit="1" customWidth="1"/>
    <col min="352" max="352" width="16.109375" bestFit="1" customWidth="1"/>
    <col min="353" max="353" width="11.6640625" bestFit="1" customWidth="1"/>
    <col min="354" max="354" width="16.109375" bestFit="1" customWidth="1"/>
    <col min="355" max="355" width="11.6640625" bestFit="1" customWidth="1"/>
    <col min="356" max="356" width="9.88671875" bestFit="1" customWidth="1"/>
    <col min="357" max="358" width="15.77734375" bestFit="1" customWidth="1"/>
    <col min="359" max="359" width="11.6640625" bestFit="1" customWidth="1"/>
    <col min="360" max="360" width="16.109375" bestFit="1" customWidth="1"/>
    <col min="361" max="361" width="16.21875" bestFit="1" customWidth="1"/>
    <col min="362" max="362" width="15.21875" bestFit="1" customWidth="1"/>
    <col min="363" max="363" width="12.44140625" bestFit="1" customWidth="1"/>
    <col min="364" max="364" width="11.21875" bestFit="1" customWidth="1"/>
    <col min="365" max="365" width="19.109375" bestFit="1" customWidth="1"/>
    <col min="366" max="366" width="14.33203125" bestFit="1" customWidth="1"/>
    <col min="367" max="367" width="11.33203125" bestFit="1" customWidth="1"/>
    <col min="368" max="368" width="13.33203125" bestFit="1" customWidth="1"/>
    <col min="369" max="369" width="13.88671875" bestFit="1" customWidth="1"/>
    <col min="370" max="370" width="11.88671875" bestFit="1" customWidth="1"/>
    <col min="371" max="371" width="12.33203125" bestFit="1" customWidth="1"/>
    <col min="372" max="372" width="7.44140625" bestFit="1" customWidth="1"/>
    <col min="373" max="373" width="11.6640625" bestFit="1" customWidth="1"/>
    <col min="374" max="374" width="8.5546875" bestFit="1" customWidth="1"/>
    <col min="375" max="375" width="15.77734375" bestFit="1" customWidth="1"/>
    <col min="376" max="376" width="13.88671875" bestFit="1" customWidth="1"/>
    <col min="377" max="377" width="11.88671875" bestFit="1" customWidth="1"/>
    <col min="378" max="378" width="11.6640625" bestFit="1" customWidth="1"/>
    <col min="379" max="379" width="8.5546875" bestFit="1" customWidth="1"/>
    <col min="380" max="380" width="14.33203125" bestFit="1" customWidth="1"/>
    <col min="381" max="381" width="13.88671875" bestFit="1" customWidth="1"/>
    <col min="382" max="382" width="11.88671875" bestFit="1" customWidth="1"/>
    <col min="383" max="383" width="11.6640625" bestFit="1" customWidth="1"/>
    <col min="384" max="384" width="9.88671875" bestFit="1" customWidth="1"/>
    <col min="385" max="385" width="11.6640625" bestFit="1" customWidth="1"/>
    <col min="386" max="386" width="8.5546875" bestFit="1" customWidth="1"/>
    <col min="387" max="387" width="12.33203125" bestFit="1" customWidth="1"/>
    <col min="388" max="388" width="7.44140625" bestFit="1" customWidth="1"/>
    <col min="389" max="389" width="13.88671875" bestFit="1" customWidth="1"/>
    <col min="390" max="390" width="11.88671875" bestFit="1" customWidth="1"/>
    <col min="391" max="391" width="17.6640625" bestFit="1" customWidth="1"/>
    <col min="392" max="392" width="11.44140625" bestFit="1" customWidth="1"/>
    <col min="393" max="393" width="12.33203125" bestFit="1" customWidth="1"/>
    <col min="394" max="394" width="7.44140625" bestFit="1" customWidth="1"/>
    <col min="395" max="395" width="11.6640625" bestFit="1" customWidth="1"/>
    <col min="396" max="396" width="8.5546875" bestFit="1" customWidth="1"/>
    <col min="397" max="397" width="12.33203125" bestFit="1" customWidth="1"/>
    <col min="398" max="398" width="7.44140625" bestFit="1" customWidth="1"/>
    <col min="399" max="399" width="13.88671875" bestFit="1" customWidth="1"/>
    <col min="400" max="400" width="11.88671875" bestFit="1" customWidth="1"/>
    <col min="401" max="401" width="15.77734375" bestFit="1" customWidth="1"/>
    <col min="402" max="402" width="14.33203125" bestFit="1" customWidth="1"/>
    <col min="403" max="403" width="13.88671875" bestFit="1" customWidth="1"/>
    <col min="404" max="404" width="11.88671875" bestFit="1" customWidth="1"/>
    <col min="405" max="405" width="13.88671875" bestFit="1" customWidth="1"/>
    <col min="406" max="406" width="11.88671875" bestFit="1" customWidth="1"/>
    <col min="407" max="407" width="11.6640625" bestFit="1" customWidth="1"/>
    <col min="408" max="408" width="9.88671875" bestFit="1" customWidth="1"/>
    <col min="409" max="409" width="19.109375" bestFit="1" customWidth="1"/>
    <col min="410" max="410" width="14.33203125" bestFit="1" customWidth="1"/>
    <col min="411" max="411" width="17.6640625" bestFit="1" customWidth="1"/>
    <col min="412" max="412" width="11.44140625" bestFit="1" customWidth="1"/>
    <col min="413" max="413" width="11.33203125" bestFit="1" customWidth="1"/>
    <col min="414" max="414" width="13.33203125" bestFit="1" customWidth="1"/>
    <col min="415" max="415" width="15.77734375" bestFit="1" customWidth="1"/>
    <col min="416" max="416" width="11.6640625" bestFit="1" customWidth="1"/>
    <col min="417" max="417" width="16.109375" bestFit="1" customWidth="1"/>
    <col min="418" max="418" width="19.109375" bestFit="1" customWidth="1"/>
    <col min="419" max="419" width="14.33203125" bestFit="1" customWidth="1"/>
    <col min="420" max="420" width="12.44140625" bestFit="1" customWidth="1"/>
    <col min="421" max="421" width="11.21875" bestFit="1" customWidth="1"/>
    <col min="422" max="422" width="19.109375" bestFit="1" customWidth="1"/>
    <col min="423" max="423" width="14.33203125" bestFit="1" customWidth="1"/>
    <col min="424" max="424" width="11.6640625" bestFit="1" customWidth="1"/>
    <col min="425" max="425" width="16.109375" bestFit="1" customWidth="1"/>
    <col min="426" max="426" width="11.6640625" bestFit="1" customWidth="1"/>
    <col min="427" max="427" width="8.5546875" bestFit="1" customWidth="1"/>
    <col min="428" max="428" width="11.6640625" bestFit="1" customWidth="1"/>
    <col min="429" max="429" width="9.88671875" bestFit="1" customWidth="1"/>
    <col min="430" max="430" width="11.6640625" bestFit="1" customWidth="1"/>
    <col min="431" max="431" width="16.109375" bestFit="1" customWidth="1"/>
    <col min="432" max="432" width="12.44140625" bestFit="1" customWidth="1"/>
    <col min="433" max="433" width="11.21875" bestFit="1" customWidth="1"/>
    <col min="434" max="434" width="11.6640625" bestFit="1" customWidth="1"/>
    <col min="435" max="435" width="9.88671875" bestFit="1" customWidth="1"/>
    <col min="436" max="436" width="15.77734375" bestFit="1" customWidth="1"/>
    <col min="437" max="437" width="12.44140625" bestFit="1" customWidth="1"/>
    <col min="438" max="438" width="11.21875" bestFit="1" customWidth="1"/>
    <col min="439" max="439" width="16.21875" bestFit="1" customWidth="1"/>
    <col min="440" max="440" width="15.21875" bestFit="1" customWidth="1"/>
    <col min="441" max="441" width="13.88671875" bestFit="1" customWidth="1"/>
    <col min="442" max="442" width="11.88671875" bestFit="1" customWidth="1"/>
    <col min="443" max="443" width="11.6640625" bestFit="1" customWidth="1"/>
    <col min="444" max="444" width="8.5546875" bestFit="1" customWidth="1"/>
    <col min="445" max="445" width="12.33203125" bestFit="1" customWidth="1"/>
    <col min="446" max="446" width="7.44140625" bestFit="1" customWidth="1"/>
    <col min="447" max="447" width="16.21875" bestFit="1" customWidth="1"/>
    <col min="448" max="448" width="15.21875" bestFit="1" customWidth="1"/>
    <col min="449" max="449" width="11.6640625" bestFit="1" customWidth="1"/>
    <col min="450" max="450" width="9.88671875" bestFit="1" customWidth="1"/>
    <col min="451" max="451" width="15.77734375" bestFit="1" customWidth="1"/>
    <col min="452" max="452" width="19.109375" bestFit="1" customWidth="1"/>
    <col min="453" max="453" width="14.33203125" bestFit="1" customWidth="1"/>
    <col min="454" max="454" width="13.88671875" bestFit="1" customWidth="1"/>
    <col min="455" max="455" width="11.88671875" bestFit="1" customWidth="1"/>
    <col min="456" max="456" width="11.6640625" bestFit="1" customWidth="1"/>
    <col min="457" max="457" width="9.88671875" bestFit="1" customWidth="1"/>
    <col min="458" max="458" width="11.6640625" bestFit="1" customWidth="1"/>
    <col min="459" max="459" width="16.109375" bestFit="1" customWidth="1"/>
    <col min="460" max="460" width="17.6640625" bestFit="1" customWidth="1"/>
    <col min="461" max="461" width="11.44140625" bestFit="1" customWidth="1"/>
    <col min="462" max="462" width="11.6640625" bestFit="1" customWidth="1"/>
    <col min="463" max="463" width="9.88671875" bestFit="1" customWidth="1"/>
    <col min="464" max="464" width="17.6640625" bestFit="1" customWidth="1"/>
    <col min="465" max="465" width="11.44140625" bestFit="1" customWidth="1"/>
    <col min="466" max="466" width="13.88671875" bestFit="1" customWidth="1"/>
    <col min="467" max="467" width="11.88671875" bestFit="1" customWidth="1"/>
    <col min="468" max="468" width="12.33203125" bestFit="1" customWidth="1"/>
    <col min="469" max="469" width="7.44140625" bestFit="1" customWidth="1"/>
    <col min="470" max="470" width="12.33203125" bestFit="1" customWidth="1"/>
    <col min="471" max="471" width="7.44140625" bestFit="1" customWidth="1"/>
    <col min="472" max="472" width="11.6640625" bestFit="1" customWidth="1"/>
    <col min="473" max="473" width="9.88671875" bestFit="1" customWidth="1"/>
    <col min="474" max="474" width="12.44140625" bestFit="1" customWidth="1"/>
    <col min="475" max="475" width="11.21875" bestFit="1" customWidth="1"/>
    <col min="476" max="476" width="17.6640625" bestFit="1" customWidth="1"/>
    <col min="477" max="477" width="11.44140625" bestFit="1" customWidth="1"/>
    <col min="478" max="478" width="11.6640625" bestFit="1" customWidth="1"/>
    <col min="479" max="479" width="16.109375" bestFit="1" customWidth="1"/>
    <col min="480" max="480" width="11.6640625" bestFit="1" customWidth="1"/>
    <col min="481" max="481" width="9.88671875" bestFit="1" customWidth="1"/>
    <col min="482" max="482" width="12.44140625" bestFit="1" customWidth="1"/>
    <col min="483" max="483" width="11.21875" bestFit="1" customWidth="1"/>
    <col min="484" max="484" width="12.33203125" bestFit="1" customWidth="1"/>
    <col min="485" max="485" width="7.44140625" bestFit="1" customWidth="1"/>
    <col min="486" max="486" width="14.33203125" bestFit="1" customWidth="1"/>
    <col min="487" max="487" width="12.33203125" bestFit="1" customWidth="1"/>
    <col min="488" max="488" width="7.44140625" bestFit="1" customWidth="1"/>
    <col min="489" max="489" width="15.77734375" bestFit="1" customWidth="1"/>
    <col min="490" max="490" width="11.6640625" bestFit="1" customWidth="1"/>
    <col min="491" max="491" width="9.88671875" bestFit="1" customWidth="1"/>
    <col min="492" max="492" width="17.6640625" bestFit="1" customWidth="1"/>
    <col min="493" max="493" width="11.44140625" bestFit="1" customWidth="1"/>
    <col min="494" max="494" width="14.33203125" bestFit="1" customWidth="1"/>
    <col min="495" max="495" width="17.6640625" bestFit="1" customWidth="1"/>
    <col min="496" max="496" width="11.44140625" bestFit="1" customWidth="1"/>
    <col min="497" max="497" width="12.33203125" bestFit="1" customWidth="1"/>
    <col min="498" max="498" width="7.44140625" bestFit="1" customWidth="1"/>
    <col min="499" max="499" width="12.33203125" bestFit="1" customWidth="1"/>
    <col min="500" max="500" width="7.44140625" bestFit="1" customWidth="1"/>
    <col min="501" max="501" width="16.21875" bestFit="1" customWidth="1"/>
    <col min="502" max="502" width="15.21875" bestFit="1" customWidth="1"/>
    <col min="503" max="503" width="12.33203125" bestFit="1" customWidth="1"/>
    <col min="504" max="504" width="7.44140625" bestFit="1" customWidth="1"/>
    <col min="505" max="505" width="13.88671875" bestFit="1" customWidth="1"/>
    <col min="506" max="506" width="11.88671875" bestFit="1" customWidth="1"/>
    <col min="507" max="507" width="11.6640625" bestFit="1" customWidth="1"/>
    <col min="508" max="508" width="16.109375" bestFit="1" customWidth="1"/>
    <col min="509" max="509" width="11.6640625" bestFit="1" customWidth="1"/>
    <col min="510" max="510" width="8.5546875" bestFit="1" customWidth="1"/>
    <col min="511" max="511" width="11.6640625" bestFit="1" customWidth="1"/>
    <col min="512" max="512" width="9.88671875" bestFit="1" customWidth="1"/>
    <col min="513" max="513" width="17.6640625" bestFit="1" customWidth="1"/>
    <col min="514" max="514" width="11.44140625" bestFit="1" customWidth="1"/>
    <col min="515" max="515" width="11.6640625" bestFit="1" customWidth="1"/>
    <col min="516" max="516" width="8.5546875" bestFit="1" customWidth="1"/>
    <col min="517" max="517" width="12.44140625" bestFit="1" customWidth="1"/>
    <col min="518" max="518" width="11.21875" bestFit="1" customWidth="1"/>
    <col min="519" max="519" width="14.33203125" bestFit="1" customWidth="1"/>
    <col min="520" max="520" width="11.6640625" bestFit="1" customWidth="1"/>
    <col min="521" max="521" width="16.109375" bestFit="1" customWidth="1"/>
    <col min="522" max="522" width="13.88671875" bestFit="1" customWidth="1"/>
    <col min="523" max="523" width="11.88671875" bestFit="1" customWidth="1"/>
    <col min="524" max="524" width="11.33203125" bestFit="1" customWidth="1"/>
    <col min="525" max="525" width="13.33203125" bestFit="1" customWidth="1"/>
    <col min="526" max="526" width="12.33203125" bestFit="1" customWidth="1"/>
    <col min="527" max="527" width="7.44140625" bestFit="1" customWidth="1"/>
    <col min="528" max="528" width="17.6640625" bestFit="1" customWidth="1"/>
    <col min="529" max="529" width="11.44140625" bestFit="1" customWidth="1"/>
    <col min="530" max="530" width="11.6640625" bestFit="1" customWidth="1"/>
    <col min="531" max="531" width="8.5546875" bestFit="1" customWidth="1"/>
    <col min="532" max="532" width="13.88671875" bestFit="1" customWidth="1"/>
    <col min="533" max="533" width="11.88671875" bestFit="1" customWidth="1"/>
    <col min="534" max="534" width="14.33203125" bestFit="1" customWidth="1"/>
    <col min="535" max="535" width="16.21875" bestFit="1" customWidth="1"/>
    <col min="536" max="536" width="15.21875" bestFit="1" customWidth="1"/>
    <col min="537" max="537" width="13.88671875" bestFit="1" customWidth="1"/>
    <col min="538" max="538" width="11.88671875" bestFit="1" customWidth="1"/>
    <col min="539" max="539" width="11.6640625" bestFit="1" customWidth="1"/>
    <col min="540" max="540" width="16.109375" bestFit="1" customWidth="1"/>
    <col min="541" max="541" width="11.6640625" bestFit="1" customWidth="1"/>
    <col min="542" max="542" width="16.109375" bestFit="1" customWidth="1"/>
    <col min="543" max="543" width="16.21875" bestFit="1" customWidth="1"/>
    <col min="544" max="544" width="15.21875" bestFit="1" customWidth="1"/>
    <col min="545" max="545" width="11.33203125" bestFit="1" customWidth="1"/>
    <col min="546" max="546" width="13.33203125" bestFit="1" customWidth="1"/>
    <col min="547" max="547" width="16.21875" bestFit="1" customWidth="1"/>
    <col min="548" max="548" width="15.21875" bestFit="1" customWidth="1"/>
    <col min="549" max="549" width="11.6640625" bestFit="1" customWidth="1"/>
    <col min="550" max="550" width="9.88671875" bestFit="1" customWidth="1"/>
    <col min="551" max="551" width="13.88671875" bestFit="1" customWidth="1"/>
    <col min="552" max="552" width="11.88671875" bestFit="1" customWidth="1"/>
    <col min="553" max="553" width="16.21875" bestFit="1" customWidth="1"/>
    <col min="554" max="554" width="15.21875" bestFit="1" customWidth="1"/>
    <col min="555" max="555" width="11.6640625" bestFit="1" customWidth="1"/>
    <col min="556" max="556" width="16.109375" bestFit="1" customWidth="1"/>
    <col min="557" max="557" width="11.6640625" bestFit="1" customWidth="1"/>
    <col min="558" max="558" width="16.109375" bestFit="1" customWidth="1"/>
    <col min="559" max="559" width="11.6640625" bestFit="1" customWidth="1"/>
    <col min="560" max="560" width="8.5546875" bestFit="1" customWidth="1"/>
    <col min="561" max="561" width="12.33203125" bestFit="1" customWidth="1"/>
    <col min="562" max="562" width="7.44140625" bestFit="1" customWidth="1"/>
    <col min="563" max="563" width="11.33203125" bestFit="1" customWidth="1"/>
    <col min="564" max="564" width="13.33203125" bestFit="1" customWidth="1"/>
    <col min="565" max="565" width="13.88671875" bestFit="1" customWidth="1"/>
    <col min="566" max="566" width="11.88671875" bestFit="1" customWidth="1"/>
    <col min="567" max="567" width="13.88671875" bestFit="1" customWidth="1"/>
    <col min="568" max="568" width="11.88671875" bestFit="1" customWidth="1"/>
  </cols>
  <sheetData>
    <row r="1" spans="1:5" ht="15.6" x14ac:dyDescent="0.3">
      <c r="A1" s="57" t="s">
        <v>389</v>
      </c>
      <c r="B1" s="57"/>
      <c r="C1" s="57"/>
      <c r="D1" s="57"/>
      <c r="E1" s="57"/>
    </row>
    <row r="3" spans="1:5" x14ac:dyDescent="0.3">
      <c r="A3" s="1" t="s">
        <v>0</v>
      </c>
      <c r="B3" t="s">
        <v>21</v>
      </c>
    </row>
    <row r="4" spans="1:5" x14ac:dyDescent="0.3">
      <c r="A4" s="2" t="s">
        <v>1</v>
      </c>
      <c r="B4" s="4">
        <v>1592.72</v>
      </c>
    </row>
    <row r="5" spans="1:5" x14ac:dyDescent="0.3">
      <c r="A5" s="2" t="s">
        <v>2</v>
      </c>
      <c r="B5" s="4">
        <v>1459.3076923076924</v>
      </c>
    </row>
    <row r="6" spans="1:5" x14ac:dyDescent="0.3">
      <c r="A6" s="2" t="s">
        <v>3</v>
      </c>
      <c r="B6" s="4">
        <v>1639.2249999999999</v>
      </c>
    </row>
    <row r="7" spans="1:5" x14ac:dyDescent="0.3">
      <c r="A7" s="2" t="s">
        <v>4</v>
      </c>
      <c r="B7" s="4">
        <v>1680.3571428571429</v>
      </c>
    </row>
    <row r="8" spans="1:5" x14ac:dyDescent="0.3">
      <c r="A8" s="2" t="s">
        <v>5</v>
      </c>
      <c r="B8" s="4">
        <v>1463.2941176470588</v>
      </c>
    </row>
    <row r="9" spans="1:5" x14ac:dyDescent="0.3">
      <c r="A9" s="2" t="s">
        <v>6</v>
      </c>
      <c r="B9" s="4">
        <v>1463.2941176470588</v>
      </c>
    </row>
    <row r="10" spans="1:5" x14ac:dyDescent="0.3">
      <c r="A10" s="2" t="s">
        <v>7</v>
      </c>
      <c r="B10" s="4">
        <v>1711.5135135135135</v>
      </c>
    </row>
    <row r="11" spans="1:5" x14ac:dyDescent="0.3">
      <c r="A11" s="2" t="s">
        <v>8</v>
      </c>
      <c r="B11" s="4">
        <v>1674.96</v>
      </c>
    </row>
    <row r="12" spans="1:5" x14ac:dyDescent="0.3">
      <c r="A12" s="2" t="s">
        <v>9</v>
      </c>
      <c r="B12" s="4">
        <v>1711.5135135135135</v>
      </c>
    </row>
    <row r="13" spans="1:5" x14ac:dyDescent="0.3">
      <c r="A13" s="2" t="s">
        <v>10</v>
      </c>
      <c r="B13" s="4">
        <v>1674.96</v>
      </c>
    </row>
    <row r="14" spans="1:5" x14ac:dyDescent="0.3">
      <c r="A14" s="2" t="s">
        <v>11</v>
      </c>
      <c r="B14" s="4">
        <v>1592.72</v>
      </c>
    </row>
    <row r="15" spans="1:5" x14ac:dyDescent="0.3">
      <c r="A15" s="2" t="s">
        <v>12</v>
      </c>
      <c r="B15" s="4">
        <v>1477.2631578947369</v>
      </c>
    </row>
    <row r="16" spans="1:5" x14ac:dyDescent="0.3">
      <c r="A16" s="2" t="s">
        <v>13</v>
      </c>
      <c r="B16" s="4">
        <v>1579.4375</v>
      </c>
    </row>
    <row r="17" spans="1:2" x14ac:dyDescent="0.3">
      <c r="A17" s="2" t="s">
        <v>14</v>
      </c>
      <c r="B17" s="4">
        <v>1811.3103448275863</v>
      </c>
    </row>
    <row r="18" spans="1:2" x14ac:dyDescent="0.3">
      <c r="A18" s="2" t="s">
        <v>15</v>
      </c>
      <c r="B18" s="4">
        <v>1706.76</v>
      </c>
    </row>
    <row r="19" spans="1:2" x14ac:dyDescent="0.3">
      <c r="A19" s="2" t="s">
        <v>16</v>
      </c>
      <c r="B19" s="4">
        <v>1680.3571428571429</v>
      </c>
    </row>
    <row r="20" spans="1:2" x14ac:dyDescent="0.3">
      <c r="A20" s="2" t="s">
        <v>17</v>
      </c>
      <c r="B20" s="4">
        <v>1289.4117647058824</v>
      </c>
    </row>
    <row r="21" spans="1:2" x14ac:dyDescent="0.3">
      <c r="A21" s="2" t="s">
        <v>18</v>
      </c>
      <c r="B21" s="4">
        <v>1662.3414634146341</v>
      </c>
    </row>
    <row r="22" spans="1:2" x14ac:dyDescent="0.3">
      <c r="A22" s="2" t="s">
        <v>19</v>
      </c>
      <c r="B22" s="4">
        <v>1459.3076923076924</v>
      </c>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E7C6A-6DFC-43C7-9804-678175E8244E}">
  <sheetPr codeName="Sheet5"/>
  <dimension ref="A1:H22"/>
  <sheetViews>
    <sheetView workbookViewId="0">
      <selection activeCell="B15" sqref="B15"/>
    </sheetView>
  </sheetViews>
  <sheetFormatPr defaultRowHeight="14.4" x14ac:dyDescent="0.3"/>
  <cols>
    <col min="1" max="1" width="18.109375" bestFit="1" customWidth="1"/>
    <col min="2" max="2" width="21.6640625" customWidth="1"/>
    <col min="3" max="3" width="26.44140625" customWidth="1"/>
  </cols>
  <sheetData>
    <row r="1" spans="1:8" ht="15.6" x14ac:dyDescent="0.3">
      <c r="A1" s="57" t="s">
        <v>390</v>
      </c>
      <c r="B1" s="57"/>
      <c r="C1" s="57"/>
      <c r="D1" s="57"/>
      <c r="E1" s="57"/>
      <c r="F1" s="57"/>
      <c r="G1" s="57"/>
      <c r="H1" s="57"/>
    </row>
    <row r="3" spans="1:8" x14ac:dyDescent="0.3">
      <c r="B3" s="54" t="s">
        <v>50</v>
      </c>
      <c r="C3" s="54" t="s">
        <v>43</v>
      </c>
      <c r="D3" s="7"/>
    </row>
    <row r="4" spans="1:8" x14ac:dyDescent="0.3">
      <c r="B4" s="18" t="str" cm="1">
        <f t="array" ref="B4:B22">_xlfn.UNIQUE(Hashtags)</f>
        <v>#AppleLifestyle</v>
      </c>
      <c r="C4" s="53">
        <f>AVERAGEIF(Hashtags,'Task 2.4'!B4, Posts!Engagement_Rate)</f>
        <v>0.13494947381413458</v>
      </c>
    </row>
    <row r="5" spans="1:8" x14ac:dyDescent="0.3">
      <c r="B5" s="18" t="str">
        <v>#AppleMusic</v>
      </c>
      <c r="C5" s="53">
        <f>AVERAGEIF(Hashtags,'Task 2.4'!B5, Posts!Engagement_Rate)</f>
        <v>0.13494947381413458</v>
      </c>
    </row>
    <row r="6" spans="1:8" x14ac:dyDescent="0.3">
      <c r="B6" s="18" t="str">
        <v>#MacBookAirM3</v>
      </c>
      <c r="C6" s="53">
        <f>AVERAGEIF(Hashtags,'Task 2.4'!B6, Posts!Engagement_Rate)</f>
        <v>0.11789410371289015</v>
      </c>
    </row>
    <row r="7" spans="1:8" x14ac:dyDescent="0.3">
      <c r="B7" s="18" t="str">
        <v>#AppleInnovation</v>
      </c>
      <c r="C7" s="53">
        <f>AVERAGEIF(Hashtags,'Task 2.4'!B7, Posts!Engagement_Rate)</f>
        <v>0.11789410371289015</v>
      </c>
    </row>
    <row r="8" spans="1:8" x14ac:dyDescent="0.3">
      <c r="B8" s="18" t="str">
        <v>#AppleEvent</v>
      </c>
      <c r="C8" s="53">
        <f>AVERAGEIF(Hashtags,'Task 2.4'!B8, Posts!Engagement_Rate)</f>
        <v>0.11852150483225599</v>
      </c>
    </row>
    <row r="9" spans="1:8" x14ac:dyDescent="0.3">
      <c r="B9" s="18" t="str">
        <v>#iPhone16</v>
      </c>
      <c r="C9" s="53">
        <f>AVERAGEIF(Hashtags,'Task 2.4'!B9, Posts!Engagement_Rate)</f>
        <v>0.12600406732043229</v>
      </c>
    </row>
    <row r="10" spans="1:8" x14ac:dyDescent="0.3">
      <c r="B10" s="18" t="str">
        <v>#ShotOniPhone</v>
      </c>
      <c r="C10" s="53">
        <f>AVERAGEIF(Hashtags,'Task 2.4'!B10, Posts!Engagement_Rate)</f>
        <v>0.13315746256065999</v>
      </c>
    </row>
    <row r="11" spans="1:8" x14ac:dyDescent="0.3">
      <c r="B11" s="18" t="str">
        <v>#iPhonePhotography</v>
      </c>
      <c r="C11" s="53">
        <f>AVERAGEIF(Hashtags,'Task 2.4'!B11, Posts!Engagement_Rate)</f>
        <v>0.12026676773989804</v>
      </c>
    </row>
    <row r="12" spans="1:8" x14ac:dyDescent="0.3">
      <c r="B12" s="18" t="str">
        <v>#iPhone16Launch</v>
      </c>
      <c r="C12" s="53">
        <f>AVERAGEIF(Hashtags,'Task 2.4'!B12, Posts!Engagement_Rate)</f>
        <v>0.11456579865607175</v>
      </c>
    </row>
    <row r="13" spans="1:8" x14ac:dyDescent="0.3">
      <c r="B13" s="18" t="str">
        <v>#Sustainability</v>
      </c>
      <c r="C13" s="53">
        <f>AVERAGEIF(Hashtags,'Task 2.4'!B13, Posts!Engagement_Rate)</f>
        <v>0.12019462245795258</v>
      </c>
    </row>
    <row r="14" spans="1:8" x14ac:dyDescent="0.3">
      <c r="B14" s="18" t="str">
        <v>#AppleEarth</v>
      </c>
      <c r="C14" s="53">
        <f>AVERAGEIF(Hashtags,'Task 2.4'!B14, Posts!Engagement_Rate)</f>
        <v>0.12019462245795258</v>
      </c>
    </row>
    <row r="15" spans="1:8" x14ac:dyDescent="0.3">
      <c r="B15" s="18" t="str">
        <v>#iPadPro</v>
      </c>
      <c r="C15" s="53">
        <f>AVERAGEIF(Hashtags,'Task 2.4'!B15, Posts!Engagement_Rate)</f>
        <v>0.11195695112108224</v>
      </c>
    </row>
    <row r="16" spans="1:8" x14ac:dyDescent="0.3">
      <c r="B16" s="18" t="str">
        <v>#MacBookProM3</v>
      </c>
      <c r="C16" s="53">
        <f>AVERAGEIF(Hashtags,'Task 2.4'!B16, Posts!Engagement_Rate)</f>
        <v>0.10955527128571872</v>
      </c>
    </row>
    <row r="17" spans="2:3" x14ac:dyDescent="0.3">
      <c r="B17" s="18" t="str">
        <v>#Health</v>
      </c>
      <c r="C17" s="53">
        <f>AVERAGEIF(Hashtags,'Task 2.4'!B17, Posts!Engagement_Rate)</f>
        <v>0.11399721676928389</v>
      </c>
    </row>
    <row r="18" spans="2:3" x14ac:dyDescent="0.3">
      <c r="B18" s="18" t="str">
        <v>#AppleWatch</v>
      </c>
      <c r="C18" s="53">
        <f>AVERAGEIF(Hashtags,'Task 2.4'!B18, Posts!Engagement_Rate)</f>
        <v>0.11399721676928389</v>
      </c>
    </row>
    <row r="19" spans="2:3" x14ac:dyDescent="0.3">
      <c r="B19" s="18" t="str">
        <v>#HealthTech</v>
      </c>
      <c r="C19" s="53">
        <f>AVERAGEIF(Hashtags,'Task 2.4'!B19, Posts!Engagement_Rate)</f>
        <v>0.14380411271271717</v>
      </c>
    </row>
    <row r="20" spans="2:3" x14ac:dyDescent="0.3">
      <c r="B20" s="18" t="str">
        <v>#AppleWatchUltra2</v>
      </c>
      <c r="C20" s="53">
        <f>AVERAGEIF(Hashtags,'Task 2.4'!B20, Posts!Engagement_Rate)</f>
        <v>0.14380411271271717</v>
      </c>
    </row>
    <row r="21" spans="2:3" x14ac:dyDescent="0.3">
      <c r="B21" s="18" t="str">
        <v>#Innovation</v>
      </c>
      <c r="C21" s="53">
        <f>AVERAGEIF(Hashtags,'Task 2.4'!B21, Posts!Engagement_Rate)</f>
        <v>0.11135741315150897</v>
      </c>
    </row>
    <row r="22" spans="2:3" x14ac:dyDescent="0.3">
      <c r="B22" s="18" t="str">
        <v>#AppleDesign</v>
      </c>
      <c r="C22" s="53">
        <f>AVERAGEIF(Hashtags,'Task 2.4'!B22, Posts!Engagement_Rate)</f>
        <v>0.11135741315150897</v>
      </c>
    </row>
  </sheetData>
  <mergeCells count="1">
    <mergeCell ref="A1:H1"/>
  </mergeCells>
  <conditionalFormatting sqref="B4:C22">
    <cfRule type="expression" dxfId="2" priority="1">
      <formula>$C4 &gt;= LARGE($C$4:$C$22,10)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EA11-5597-49EB-B672-3BE461498D0C}">
  <dimension ref="A1:O13"/>
  <sheetViews>
    <sheetView zoomScaleNormal="100" workbookViewId="0">
      <selection activeCell="B15" sqref="B15"/>
    </sheetView>
  </sheetViews>
  <sheetFormatPr defaultRowHeight="14.4" x14ac:dyDescent="0.3"/>
  <cols>
    <col min="1" max="1" width="12.5546875" bestFit="1" customWidth="1"/>
    <col min="2" max="2" width="26.33203125" bestFit="1" customWidth="1"/>
    <col min="3" max="4" width="15.5546875" bestFit="1" customWidth="1"/>
    <col min="5" max="6" width="10.77734375" bestFit="1" customWidth="1"/>
  </cols>
  <sheetData>
    <row r="1" spans="1:15" ht="15.6" x14ac:dyDescent="0.3">
      <c r="A1" s="57" t="s">
        <v>391</v>
      </c>
      <c r="B1" s="57"/>
      <c r="C1" s="57"/>
      <c r="D1" s="57"/>
      <c r="E1" s="57"/>
      <c r="F1" s="57"/>
      <c r="G1" s="57"/>
      <c r="H1" s="57"/>
      <c r="I1" s="57"/>
      <c r="J1" s="57"/>
      <c r="K1" s="57"/>
      <c r="L1" s="57"/>
      <c r="M1" s="57"/>
      <c r="N1" s="57"/>
      <c r="O1" s="57"/>
    </row>
    <row r="3" spans="1:15" x14ac:dyDescent="0.3">
      <c r="A3" s="1" t="s">
        <v>0</v>
      </c>
      <c r="B3" t="s">
        <v>467</v>
      </c>
    </row>
    <row r="4" spans="1:15" x14ac:dyDescent="0.3">
      <c r="A4" s="2" t="s">
        <v>32</v>
      </c>
      <c r="B4" s="4">
        <v>17.599262914182141</v>
      </c>
    </row>
    <row r="5" spans="1:15" x14ac:dyDescent="0.3">
      <c r="A5" s="2" t="s">
        <v>31</v>
      </c>
      <c r="B5" s="4">
        <v>17.480513118999934</v>
      </c>
    </row>
    <row r="6" spans="1:15" x14ac:dyDescent="0.3">
      <c r="A6" s="2" t="s">
        <v>29</v>
      </c>
      <c r="B6" s="4">
        <v>15.559291798886182</v>
      </c>
    </row>
    <row r="7" spans="1:15" x14ac:dyDescent="0.3">
      <c r="A7" s="2" t="s">
        <v>30</v>
      </c>
      <c r="B7" s="4">
        <v>14.067998324800023</v>
      </c>
    </row>
    <row r="8" spans="1:15" x14ac:dyDescent="0.3">
      <c r="A8" s="2"/>
      <c r="B8" s="4"/>
    </row>
    <row r="9" spans="1:15" x14ac:dyDescent="0.3">
      <c r="A9" s="51" t="s">
        <v>47</v>
      </c>
      <c r="B9" s="52" t="s">
        <v>43</v>
      </c>
    </row>
    <row r="10" spans="1:15" x14ac:dyDescent="0.3">
      <c r="A10" s="18" t="str" cm="1">
        <f t="array" ref="A10:A13">_xlfn.UNIQUE(Platform)</f>
        <v>Instagram</v>
      </c>
      <c r="B10" s="50">
        <f>AVERAGEIF(Platform,'Task 3.1'!A10,Engagement_Rate)</f>
        <v>15.559291798886182</v>
      </c>
    </row>
    <row r="11" spans="1:15" x14ac:dyDescent="0.3">
      <c r="A11" s="18" t="str">
        <v>Twitter</v>
      </c>
      <c r="B11" s="50">
        <f>AVERAGEIF(Platform,'Task 3.1'!A11,Engagement_Rate)</f>
        <v>17.480513118999934</v>
      </c>
    </row>
    <row r="12" spans="1:15" x14ac:dyDescent="0.3">
      <c r="A12" s="18" t="str">
        <v>YouTube</v>
      </c>
      <c r="B12" s="50">
        <f>AVERAGEIF(Platform,'Task 3.1'!A12,Engagement_Rate)</f>
        <v>17.599262914182141</v>
      </c>
    </row>
    <row r="13" spans="1:15" x14ac:dyDescent="0.3">
      <c r="A13" s="18" t="str">
        <v>LinkedIn</v>
      </c>
      <c r="B13" s="50">
        <f>AVERAGEIF(Platform,'Task 3.1'!A13,Engagement_Rate)</f>
        <v>14.067998324800023</v>
      </c>
    </row>
  </sheetData>
  <mergeCells count="1">
    <mergeCell ref="A1:O1"/>
  </mergeCell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8911-5A65-4DFF-A95C-6C10CCA8B570}">
  <dimension ref="A1:P7"/>
  <sheetViews>
    <sheetView topLeftCell="E1" workbookViewId="0">
      <selection activeCell="M24" sqref="M24"/>
    </sheetView>
  </sheetViews>
  <sheetFormatPr defaultRowHeight="14.4" x14ac:dyDescent="0.3"/>
  <cols>
    <col min="1" max="1" width="12.5546875" bestFit="1" customWidth="1"/>
    <col min="2" max="2" width="18.109375" bestFit="1" customWidth="1"/>
  </cols>
  <sheetData>
    <row r="1" spans="1:16" ht="15.6" x14ac:dyDescent="0.3">
      <c r="A1" s="57" t="s">
        <v>392</v>
      </c>
      <c r="B1" s="57"/>
      <c r="C1" s="57"/>
      <c r="D1" s="57"/>
      <c r="E1" s="57"/>
      <c r="F1" s="57"/>
      <c r="G1" s="57"/>
      <c r="H1" s="57"/>
      <c r="I1" s="57"/>
      <c r="J1" s="57"/>
      <c r="K1" s="57"/>
      <c r="L1" s="57"/>
      <c r="M1" s="57"/>
      <c r="N1" s="57"/>
      <c r="O1" s="57"/>
      <c r="P1" s="57"/>
    </row>
    <row r="3" spans="1:16" x14ac:dyDescent="0.3">
      <c r="A3" s="1" t="s">
        <v>0</v>
      </c>
      <c r="B3" t="s">
        <v>370</v>
      </c>
    </row>
    <row r="4" spans="1:16" x14ac:dyDescent="0.3">
      <c r="A4" s="2" t="s">
        <v>31</v>
      </c>
      <c r="B4">
        <v>303407</v>
      </c>
    </row>
    <row r="5" spans="1:16" x14ac:dyDescent="0.3">
      <c r="A5" s="2" t="s">
        <v>30</v>
      </c>
      <c r="B5">
        <v>290487</v>
      </c>
    </row>
    <row r="6" spans="1:16" x14ac:dyDescent="0.3">
      <c r="A6" s="2" t="s">
        <v>29</v>
      </c>
      <c r="B6">
        <v>261862</v>
      </c>
    </row>
    <row r="7" spans="1:16" x14ac:dyDescent="0.3">
      <c r="A7" s="2" t="s">
        <v>32</v>
      </c>
      <c r="B7">
        <v>230642</v>
      </c>
    </row>
  </sheetData>
  <mergeCells count="1">
    <mergeCell ref="A1:P1"/>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A55F-0273-4927-BC9C-8E302B300166}">
  <dimension ref="A1:I23"/>
  <sheetViews>
    <sheetView workbookViewId="0">
      <selection activeCell="N9" sqref="N9"/>
    </sheetView>
  </sheetViews>
  <sheetFormatPr defaultRowHeight="14.4" x14ac:dyDescent="0.3"/>
  <cols>
    <col min="1" max="1" width="12.5546875" bestFit="1" customWidth="1"/>
    <col min="2" max="2" width="23.109375" bestFit="1" customWidth="1"/>
    <col min="3" max="3" width="16.21875" bestFit="1" customWidth="1"/>
    <col min="9" max="9" width="8.88671875" customWidth="1"/>
  </cols>
  <sheetData>
    <row r="1" spans="1:5" ht="15.6" x14ac:dyDescent="0.3">
      <c r="A1" s="57" t="s">
        <v>393</v>
      </c>
      <c r="B1" s="57"/>
      <c r="C1" s="57"/>
      <c r="D1" s="57"/>
      <c r="E1" s="57"/>
    </row>
    <row r="3" spans="1:5" x14ac:dyDescent="0.3">
      <c r="A3" s="1" t="s">
        <v>0</v>
      </c>
      <c r="B3" t="s">
        <v>45</v>
      </c>
      <c r="C3" t="s">
        <v>371</v>
      </c>
    </row>
    <row r="4" spans="1:5" x14ac:dyDescent="0.3">
      <c r="A4" s="2" t="s">
        <v>29</v>
      </c>
      <c r="B4" s="6">
        <v>0.24679615995188059</v>
      </c>
      <c r="C4" s="48">
        <v>0.25637633790779663</v>
      </c>
    </row>
    <row r="5" spans="1:5" x14ac:dyDescent="0.3">
      <c r="A5" s="2" t="s">
        <v>30</v>
      </c>
      <c r="B5" s="6">
        <v>0.24064308895514208</v>
      </c>
      <c r="C5" s="48">
        <v>0.28736296099531389</v>
      </c>
    </row>
    <row r="6" spans="1:5" x14ac:dyDescent="0.3">
      <c r="A6" s="2" t="s">
        <v>31</v>
      </c>
      <c r="B6" s="6">
        <v>0.288143244814341</v>
      </c>
      <c r="C6" s="48">
        <v>0.27055303557456045</v>
      </c>
    </row>
    <row r="7" spans="1:5" x14ac:dyDescent="0.3">
      <c r="A7" s="2" t="s">
        <v>32</v>
      </c>
      <c r="B7" s="6">
        <v>0.22441750627863649</v>
      </c>
      <c r="C7" s="48">
        <v>0.18570766552232901</v>
      </c>
    </row>
    <row r="8" spans="1:5" x14ac:dyDescent="0.3">
      <c r="A8" s="2" t="s">
        <v>20</v>
      </c>
      <c r="B8" s="6">
        <v>1</v>
      </c>
      <c r="C8" s="48">
        <v>1</v>
      </c>
    </row>
    <row r="22" spans="1:9" x14ac:dyDescent="0.3">
      <c r="A22" s="58" t="s">
        <v>465</v>
      </c>
      <c r="B22" s="58"/>
      <c r="C22" s="58"/>
      <c r="D22" s="58"/>
      <c r="E22" s="58"/>
      <c r="F22" s="58"/>
      <c r="G22" s="58"/>
      <c r="H22" s="58"/>
      <c r="I22" s="58"/>
    </row>
    <row r="23" spans="1:9" ht="151.19999999999999" customHeight="1" x14ac:dyDescent="0.3">
      <c r="A23" s="59" t="s">
        <v>466</v>
      </c>
      <c r="B23" s="59"/>
      <c r="C23" s="59"/>
      <c r="D23" s="59"/>
      <c r="E23" s="59"/>
      <c r="F23" s="59"/>
      <c r="G23" s="59"/>
      <c r="H23" s="59"/>
      <c r="I23" s="59"/>
    </row>
  </sheetData>
  <mergeCells count="3">
    <mergeCell ref="A1:E1"/>
    <mergeCell ref="A22:I22"/>
    <mergeCell ref="A23:I23"/>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CD82-6668-478D-B91F-BED897143842}">
  <dimension ref="A1:E23"/>
  <sheetViews>
    <sheetView workbookViewId="0">
      <selection activeCell="A25" sqref="A25"/>
    </sheetView>
  </sheetViews>
  <sheetFormatPr defaultRowHeight="14.4" x14ac:dyDescent="0.3"/>
  <cols>
    <col min="1" max="1" width="18.109375" bestFit="1" customWidth="1"/>
    <col min="2" max="2" width="16.44140625" bestFit="1" customWidth="1"/>
  </cols>
  <sheetData>
    <row r="1" spans="1:5" ht="15.6" x14ac:dyDescent="0.3">
      <c r="A1" s="57" t="s">
        <v>394</v>
      </c>
      <c r="B1" s="57"/>
      <c r="C1" s="57"/>
      <c r="D1" s="57"/>
      <c r="E1" s="57"/>
    </row>
    <row r="3" spans="1:5" x14ac:dyDescent="0.3">
      <c r="A3" s="1" t="s">
        <v>0</v>
      </c>
      <c r="B3" t="s">
        <v>373</v>
      </c>
    </row>
    <row r="4" spans="1:5" x14ac:dyDescent="0.3">
      <c r="A4" s="8" t="s">
        <v>3</v>
      </c>
      <c r="B4" s="49">
        <v>80</v>
      </c>
    </row>
    <row r="5" spans="1:5" x14ac:dyDescent="0.3">
      <c r="A5" s="2" t="s">
        <v>18</v>
      </c>
      <c r="B5">
        <v>41</v>
      </c>
    </row>
    <row r="6" spans="1:5" x14ac:dyDescent="0.3">
      <c r="A6" s="2" t="s">
        <v>7</v>
      </c>
      <c r="B6">
        <v>37</v>
      </c>
    </row>
    <row r="7" spans="1:5" x14ac:dyDescent="0.3">
      <c r="A7" s="2" t="s">
        <v>9</v>
      </c>
      <c r="B7">
        <v>37</v>
      </c>
    </row>
    <row r="8" spans="1:5" x14ac:dyDescent="0.3">
      <c r="A8" s="2" t="s">
        <v>6</v>
      </c>
      <c r="B8">
        <v>34</v>
      </c>
    </row>
    <row r="9" spans="1:5" x14ac:dyDescent="0.3">
      <c r="A9" s="2" t="s">
        <v>5</v>
      </c>
      <c r="B9">
        <v>34</v>
      </c>
    </row>
    <row r="10" spans="1:5" x14ac:dyDescent="0.3">
      <c r="A10" s="2" t="s">
        <v>13</v>
      </c>
      <c r="B10">
        <v>32</v>
      </c>
    </row>
    <row r="11" spans="1:5" x14ac:dyDescent="0.3">
      <c r="A11" s="2" t="s">
        <v>14</v>
      </c>
      <c r="B11">
        <v>29</v>
      </c>
    </row>
    <row r="12" spans="1:5" x14ac:dyDescent="0.3">
      <c r="A12" s="2" t="s">
        <v>16</v>
      </c>
      <c r="B12">
        <v>28</v>
      </c>
    </row>
    <row r="13" spans="1:5" x14ac:dyDescent="0.3">
      <c r="A13" s="2" t="s">
        <v>4</v>
      </c>
      <c r="B13">
        <v>28</v>
      </c>
    </row>
    <row r="14" spans="1:5" x14ac:dyDescent="0.3">
      <c r="A14" s="2" t="s">
        <v>11</v>
      </c>
      <c r="B14">
        <v>25</v>
      </c>
    </row>
    <row r="15" spans="1:5" x14ac:dyDescent="0.3">
      <c r="A15" s="2" t="s">
        <v>15</v>
      </c>
      <c r="B15">
        <v>25</v>
      </c>
    </row>
    <row r="16" spans="1:5" x14ac:dyDescent="0.3">
      <c r="A16" s="2" t="s">
        <v>1</v>
      </c>
      <c r="B16">
        <v>25</v>
      </c>
    </row>
    <row r="17" spans="1:2" x14ac:dyDescent="0.3">
      <c r="A17" s="2" t="s">
        <v>8</v>
      </c>
      <c r="B17">
        <v>25</v>
      </c>
    </row>
    <row r="18" spans="1:2" x14ac:dyDescent="0.3">
      <c r="A18" s="2" t="s">
        <v>10</v>
      </c>
      <c r="B18">
        <v>25</v>
      </c>
    </row>
    <row r="19" spans="1:2" x14ac:dyDescent="0.3">
      <c r="A19" s="2" t="s">
        <v>12</v>
      </c>
      <c r="B19">
        <v>19</v>
      </c>
    </row>
    <row r="20" spans="1:2" x14ac:dyDescent="0.3">
      <c r="A20" s="2" t="s">
        <v>17</v>
      </c>
      <c r="B20">
        <v>17</v>
      </c>
    </row>
    <row r="21" spans="1:2" x14ac:dyDescent="0.3">
      <c r="A21" s="2" t="s">
        <v>19</v>
      </c>
      <c r="B21">
        <v>13</v>
      </c>
    </row>
    <row r="22" spans="1:2" x14ac:dyDescent="0.3">
      <c r="A22" s="2" t="s">
        <v>2</v>
      </c>
      <c r="B22">
        <v>13</v>
      </c>
    </row>
    <row r="23" spans="1:2" x14ac:dyDescent="0.3">
      <c r="A23" s="2" t="s">
        <v>20</v>
      </c>
      <c r="B23">
        <v>567</v>
      </c>
    </row>
  </sheetData>
  <mergeCells count="1">
    <mergeCell ref="A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D421-EC05-4052-8D41-F3F4D08442DB}">
  <dimension ref="A1:W22"/>
  <sheetViews>
    <sheetView topLeftCell="D4" zoomScale="90" zoomScaleNormal="90" workbookViewId="0">
      <selection activeCell="C8" sqref="C8"/>
    </sheetView>
  </sheetViews>
  <sheetFormatPr defaultRowHeight="14.4" x14ac:dyDescent="0.3"/>
  <cols>
    <col min="1" max="1" width="19.33203125" bestFit="1" customWidth="1"/>
    <col min="2" max="2" width="26.77734375" bestFit="1" customWidth="1"/>
  </cols>
  <sheetData>
    <row r="1" spans="1:23" ht="18" x14ac:dyDescent="0.35">
      <c r="A1" s="60" t="s">
        <v>395</v>
      </c>
      <c r="B1" s="60"/>
      <c r="C1" s="60"/>
      <c r="D1" s="60"/>
      <c r="E1" s="60"/>
      <c r="F1" s="60"/>
      <c r="G1" s="60"/>
      <c r="H1" s="60"/>
      <c r="I1" s="60"/>
      <c r="J1" s="60"/>
      <c r="K1" s="60"/>
      <c r="L1" s="60"/>
      <c r="M1" s="60"/>
      <c r="N1" s="60"/>
      <c r="O1" s="60"/>
      <c r="P1" s="60"/>
      <c r="Q1" s="60"/>
      <c r="R1" s="60"/>
      <c r="S1" s="60"/>
      <c r="T1" s="60"/>
      <c r="U1" s="60"/>
      <c r="V1" s="60"/>
      <c r="W1" s="60"/>
    </row>
    <row r="3" spans="1:23" x14ac:dyDescent="0.3">
      <c r="A3" s="1" t="s">
        <v>0</v>
      </c>
      <c r="B3" t="s">
        <v>43</v>
      </c>
    </row>
    <row r="4" spans="1:23" x14ac:dyDescent="0.3">
      <c r="A4" s="2" t="s">
        <v>1</v>
      </c>
      <c r="B4" s="11">
        <v>0.11135741315150897</v>
      </c>
    </row>
    <row r="5" spans="1:23" x14ac:dyDescent="0.3">
      <c r="A5" s="2" t="s">
        <v>2</v>
      </c>
      <c r="B5" s="11">
        <v>0.12019462245795258</v>
      </c>
    </row>
    <row r="6" spans="1:23" x14ac:dyDescent="0.3">
      <c r="A6" s="2" t="s">
        <v>3</v>
      </c>
      <c r="B6" s="11">
        <v>0.11852150483225592</v>
      </c>
    </row>
    <row r="7" spans="1:23" x14ac:dyDescent="0.3">
      <c r="A7" s="2" t="s">
        <v>4</v>
      </c>
      <c r="B7" s="11">
        <v>0.11789410371289012</v>
      </c>
    </row>
    <row r="8" spans="1:23" x14ac:dyDescent="0.3">
      <c r="A8" s="2" t="s">
        <v>5</v>
      </c>
      <c r="B8" s="11">
        <v>0.13494947381413458</v>
      </c>
    </row>
    <row r="9" spans="1:23" x14ac:dyDescent="0.3">
      <c r="A9" s="2" t="s">
        <v>6</v>
      </c>
      <c r="B9" s="11">
        <v>0.13494947381413458</v>
      </c>
    </row>
    <row r="10" spans="1:23" x14ac:dyDescent="0.3">
      <c r="A10" s="2" t="s">
        <v>7</v>
      </c>
      <c r="B10" s="11">
        <v>0.1139972167692839</v>
      </c>
    </row>
    <row r="11" spans="1:23" x14ac:dyDescent="0.3">
      <c r="A11" s="2" t="s">
        <v>8</v>
      </c>
      <c r="B11" s="11">
        <v>0.14380411271271717</v>
      </c>
    </row>
    <row r="12" spans="1:23" x14ac:dyDescent="0.3">
      <c r="A12" s="2" t="s">
        <v>9</v>
      </c>
      <c r="B12" s="11">
        <v>0.1139972167692839</v>
      </c>
    </row>
    <row r="13" spans="1:23" x14ac:dyDescent="0.3">
      <c r="A13" s="2" t="s">
        <v>10</v>
      </c>
      <c r="B13" s="11">
        <v>0.14380411271271717</v>
      </c>
    </row>
    <row r="14" spans="1:23" x14ac:dyDescent="0.3">
      <c r="A14" s="2" t="s">
        <v>11</v>
      </c>
      <c r="B14" s="11">
        <v>0.11135741315150897</v>
      </c>
    </row>
    <row r="15" spans="1:23" x14ac:dyDescent="0.3">
      <c r="A15" s="2" t="s">
        <v>12</v>
      </c>
      <c r="B15" s="11">
        <v>0.11195695112108224</v>
      </c>
    </row>
    <row r="16" spans="1:23" x14ac:dyDescent="0.3">
      <c r="A16" s="2" t="s">
        <v>13</v>
      </c>
      <c r="B16" s="11">
        <v>0.12600406732043229</v>
      </c>
    </row>
    <row r="17" spans="1:2" x14ac:dyDescent="0.3">
      <c r="A17" s="2" t="s">
        <v>14</v>
      </c>
      <c r="B17" s="11">
        <v>0.11456579865607176</v>
      </c>
    </row>
    <row r="18" spans="1:2" x14ac:dyDescent="0.3">
      <c r="A18" s="2" t="s">
        <v>15</v>
      </c>
      <c r="B18" s="11">
        <v>0.12026676773989804</v>
      </c>
    </row>
    <row r="19" spans="1:2" x14ac:dyDescent="0.3">
      <c r="A19" s="2" t="s">
        <v>16</v>
      </c>
      <c r="B19" s="11">
        <v>0.11789410371289012</v>
      </c>
    </row>
    <row r="20" spans="1:2" x14ac:dyDescent="0.3">
      <c r="A20" s="2" t="s">
        <v>17</v>
      </c>
      <c r="B20" s="11">
        <v>0.10955527128571871</v>
      </c>
    </row>
    <row r="21" spans="1:2" x14ac:dyDescent="0.3">
      <c r="A21" s="2" t="s">
        <v>18</v>
      </c>
      <c r="B21" s="11">
        <v>0.13315746256065997</v>
      </c>
    </row>
    <row r="22" spans="1:2" x14ac:dyDescent="0.3">
      <c r="A22" s="2" t="s">
        <v>19</v>
      </c>
      <c r="B22" s="11">
        <v>0.12019462245795258</v>
      </c>
    </row>
  </sheetData>
  <mergeCells count="1">
    <mergeCell ref="A1:W1"/>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908B-AE6B-41C2-A1E9-BF29A12B0FCD}">
  <dimension ref="A1:J6"/>
  <sheetViews>
    <sheetView topLeftCell="A3" workbookViewId="0">
      <selection activeCell="A3" sqref="A3"/>
    </sheetView>
  </sheetViews>
  <sheetFormatPr defaultRowHeight="14.4" x14ac:dyDescent="0.3"/>
  <cols>
    <col min="1" max="1" width="12.5546875" bestFit="1" customWidth="1"/>
    <col min="2" max="2" width="25.77734375" bestFit="1" customWidth="1"/>
    <col min="3" max="3" width="24.6640625" bestFit="1" customWidth="1"/>
    <col min="4" max="4" width="16" bestFit="1" customWidth="1"/>
    <col min="5" max="5" width="24.21875" bestFit="1" customWidth="1"/>
    <col min="6" max="6" width="26.88671875" bestFit="1" customWidth="1"/>
    <col min="7" max="7" width="12" bestFit="1" customWidth="1"/>
  </cols>
  <sheetData>
    <row r="1" spans="1:10" ht="15.6" x14ac:dyDescent="0.3">
      <c r="A1" s="61" t="s">
        <v>396</v>
      </c>
      <c r="B1" s="61"/>
      <c r="C1" s="61"/>
      <c r="D1" s="61"/>
      <c r="E1" s="61"/>
      <c r="F1" s="61"/>
      <c r="G1" s="61"/>
      <c r="H1" s="61"/>
      <c r="I1" s="61"/>
      <c r="J1" s="61"/>
    </row>
    <row r="3" spans="1:10" x14ac:dyDescent="0.3">
      <c r="A3" s="1" t="s">
        <v>0</v>
      </c>
      <c r="B3" t="s">
        <v>43</v>
      </c>
    </row>
    <row r="4" spans="1:10" x14ac:dyDescent="0.3">
      <c r="A4" s="2" t="s">
        <v>25</v>
      </c>
      <c r="B4" s="11">
        <v>0.12185483251419393</v>
      </c>
    </row>
    <row r="5" spans="1:10" x14ac:dyDescent="0.3">
      <c r="A5" s="2" t="s">
        <v>26</v>
      </c>
      <c r="B5" s="11">
        <v>0.11579192732927886</v>
      </c>
    </row>
    <row r="6" spans="1:10" x14ac:dyDescent="0.3">
      <c r="A6" s="2" t="s">
        <v>28</v>
      </c>
      <c r="B6" s="11">
        <v>0.13931352878365191</v>
      </c>
    </row>
  </sheetData>
  <mergeCells count="1">
    <mergeCell ref="A1:J1"/>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F5F9D-F004-40D1-885F-C26B1EEAFB5C}">
  <dimension ref="A1:G35"/>
  <sheetViews>
    <sheetView workbookViewId="0">
      <selection activeCell="A16" sqref="A16"/>
    </sheetView>
  </sheetViews>
  <sheetFormatPr defaultRowHeight="14.4" x14ac:dyDescent="0.3"/>
  <cols>
    <col min="1" max="1" width="25.77734375" bestFit="1" customWidth="1"/>
    <col min="2" max="2" width="15.5546875" bestFit="1" customWidth="1"/>
    <col min="3" max="3" width="13.109375" customWidth="1"/>
    <col min="4" max="4" width="12.109375" customWidth="1"/>
    <col min="5" max="5" width="11.33203125" customWidth="1"/>
    <col min="6" max="6" width="12" bestFit="1" customWidth="1"/>
  </cols>
  <sheetData>
    <row r="1" spans="1:6" ht="15.6" x14ac:dyDescent="0.3">
      <c r="A1" s="57" t="s">
        <v>397</v>
      </c>
      <c r="B1" s="57"/>
      <c r="C1" s="57"/>
      <c r="D1" s="57"/>
      <c r="E1" s="57"/>
      <c r="F1" s="57"/>
    </row>
    <row r="4" spans="1:6" x14ac:dyDescent="0.3">
      <c r="A4" s="1" t="s">
        <v>43</v>
      </c>
      <c r="B4" s="1" t="s">
        <v>372</v>
      </c>
    </row>
    <row r="5" spans="1:6" x14ac:dyDescent="0.3">
      <c r="A5" s="1" t="s">
        <v>0</v>
      </c>
      <c r="B5" t="s">
        <v>26</v>
      </c>
      <c r="C5" t="s">
        <v>25</v>
      </c>
      <c r="D5" t="s">
        <v>28</v>
      </c>
      <c r="E5" t="s">
        <v>27</v>
      </c>
    </row>
    <row r="6" spans="1:6" x14ac:dyDescent="0.3">
      <c r="A6" s="2" t="s">
        <v>31</v>
      </c>
      <c r="B6" s="10">
        <v>0.18518306795651693</v>
      </c>
      <c r="C6" s="10">
        <v>0.14058683064209121</v>
      </c>
      <c r="D6" s="10">
        <v>0.13825432830204212</v>
      </c>
      <c r="E6" s="10">
        <v>0.11654232584093846</v>
      </c>
    </row>
    <row r="7" spans="1:6" x14ac:dyDescent="0.3">
      <c r="A7" s="2" t="s">
        <v>29</v>
      </c>
      <c r="B7" s="10">
        <v>9.3185789932585181E-2</v>
      </c>
      <c r="C7" s="10">
        <v>0.12448331763030893</v>
      </c>
      <c r="D7" s="10">
        <v>0.1419521656504289</v>
      </c>
      <c r="E7" s="10">
        <v>0.1172928195875962</v>
      </c>
    </row>
    <row r="8" spans="1:6" x14ac:dyDescent="0.3">
      <c r="A8" s="2" t="s">
        <v>30</v>
      </c>
      <c r="B8" s="10">
        <v>0.11927845946707004</v>
      </c>
      <c r="C8" s="10">
        <v>0.11078961736244364</v>
      </c>
      <c r="D8" s="10">
        <v>0.15713453663338484</v>
      </c>
      <c r="E8" s="10">
        <v>0.11472045290563467</v>
      </c>
    </row>
    <row r="9" spans="1:6" x14ac:dyDescent="0.3">
      <c r="A9" s="2" t="s">
        <v>32</v>
      </c>
      <c r="B9" s="10">
        <v>9.7930632572636275E-2</v>
      </c>
      <c r="C9" s="10">
        <v>0.10840108037749803</v>
      </c>
      <c r="D9" s="10">
        <v>0.12248429525616394</v>
      </c>
      <c r="E9" s="10">
        <v>9.8147395731168319E-2</v>
      </c>
    </row>
    <row r="13" spans="1:6" ht="15.6" x14ac:dyDescent="0.3">
      <c r="A13" s="64" t="s">
        <v>461</v>
      </c>
      <c r="B13" s="64"/>
      <c r="C13" s="64"/>
      <c r="D13" s="64"/>
    </row>
    <row r="14" spans="1:6" ht="15.6" x14ac:dyDescent="0.3">
      <c r="A14" s="44" t="s">
        <v>47</v>
      </c>
      <c r="B14" s="65" t="s">
        <v>462</v>
      </c>
      <c r="C14" s="65"/>
      <c r="D14" s="66"/>
      <c r="E14" s="12"/>
    </row>
    <row r="15" spans="1:6" ht="15.6" x14ac:dyDescent="0.3">
      <c r="A15" s="42" t="s">
        <v>31</v>
      </c>
      <c r="B15" s="67" t="s">
        <v>26</v>
      </c>
      <c r="C15" s="67"/>
      <c r="D15" s="68"/>
      <c r="E15" s="20"/>
    </row>
    <row r="16" spans="1:6" ht="15.6" x14ac:dyDescent="0.3">
      <c r="A16" s="42" t="s">
        <v>29</v>
      </c>
      <c r="B16" s="67" t="s">
        <v>28</v>
      </c>
      <c r="C16" s="67"/>
      <c r="D16" s="68"/>
      <c r="E16" s="20"/>
    </row>
    <row r="17" spans="1:7" ht="15.6" x14ac:dyDescent="0.3">
      <c r="A17" s="42" t="s">
        <v>30</v>
      </c>
      <c r="B17" s="67" t="s">
        <v>28</v>
      </c>
      <c r="C17" s="67"/>
      <c r="D17" s="68"/>
      <c r="E17" s="20"/>
    </row>
    <row r="18" spans="1:7" ht="15.6" x14ac:dyDescent="0.3">
      <c r="A18" s="43" t="s">
        <v>463</v>
      </c>
      <c r="B18" s="62" t="s">
        <v>28</v>
      </c>
      <c r="C18" s="62"/>
      <c r="D18" s="63"/>
      <c r="E18" s="20"/>
    </row>
    <row r="30" spans="1:7" ht="15.6" x14ac:dyDescent="0.3">
      <c r="B30" s="13"/>
      <c r="C30" s="13"/>
      <c r="D30" s="13"/>
      <c r="E30" s="13"/>
      <c r="F30" s="13"/>
      <c r="G30" s="13"/>
    </row>
    <row r="31" spans="1:7" ht="15.6" x14ac:dyDescent="0.3">
      <c r="G31" s="13"/>
    </row>
    <row r="32" spans="1:7" ht="15.6" x14ac:dyDescent="0.3">
      <c r="G32" s="13"/>
    </row>
    <row r="33" spans="7:7" ht="15.6" x14ac:dyDescent="0.3">
      <c r="G33" s="13"/>
    </row>
    <row r="34" spans="7:7" ht="15.6" x14ac:dyDescent="0.3">
      <c r="G34" s="13"/>
    </row>
    <row r="35" spans="7:7" ht="15.6" x14ac:dyDescent="0.3">
      <c r="G35" s="13"/>
    </row>
  </sheetData>
  <mergeCells count="7">
    <mergeCell ref="B18:D18"/>
    <mergeCell ref="A1:F1"/>
    <mergeCell ref="A13:D13"/>
    <mergeCell ref="B14:D14"/>
    <mergeCell ref="B15:D15"/>
    <mergeCell ref="B16:D16"/>
    <mergeCell ref="B17:D17"/>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49DFC-8BD2-4F40-8C2A-A0B72F80D758}">
  <dimension ref="A1:G8"/>
  <sheetViews>
    <sheetView workbookViewId="0">
      <selection activeCell="G3" sqref="G3"/>
    </sheetView>
  </sheetViews>
  <sheetFormatPr defaultRowHeight="14.4" x14ac:dyDescent="0.3"/>
  <cols>
    <col min="1" max="1" width="26" bestFit="1" customWidth="1"/>
    <col min="2" max="2" width="17.6640625" bestFit="1" customWidth="1"/>
    <col min="3" max="3" width="20.77734375" bestFit="1" customWidth="1"/>
    <col min="4" max="4" width="11.5546875" bestFit="1" customWidth="1"/>
    <col min="5" max="5" width="14.77734375" bestFit="1" customWidth="1"/>
    <col min="6" max="6" width="12.109375" bestFit="1" customWidth="1"/>
    <col min="7" max="7" width="15.33203125" bestFit="1" customWidth="1"/>
  </cols>
  <sheetData>
    <row r="1" spans="1:7" ht="15.6" x14ac:dyDescent="0.3">
      <c r="A1" s="57" t="s">
        <v>398</v>
      </c>
      <c r="B1" s="57"/>
      <c r="C1" s="57"/>
      <c r="D1" s="57"/>
      <c r="E1" s="57"/>
      <c r="F1" s="57"/>
      <c r="G1" s="57"/>
    </row>
    <row r="3" spans="1:7" x14ac:dyDescent="0.3">
      <c r="A3" s="55" t="s">
        <v>57</v>
      </c>
      <c r="B3" s="54" t="s">
        <v>44</v>
      </c>
      <c r="C3" s="54" t="s">
        <v>375</v>
      </c>
      <c r="D3" s="54" t="s">
        <v>24</v>
      </c>
      <c r="E3" s="54" t="s">
        <v>376</v>
      </c>
      <c r="F3" s="54" t="s">
        <v>374</v>
      </c>
      <c r="G3" s="54" t="s">
        <v>21</v>
      </c>
    </row>
    <row r="4" spans="1:7" x14ac:dyDescent="0.3">
      <c r="A4" s="18" t="str" cm="1">
        <f t="array" ref="A4:A8">_xlfn.UNIQUE(Campaign_Name)</f>
        <v>iPhone 16 Launch</v>
      </c>
      <c r="B4" s="18">
        <f>SUMIF(Posts!Campaign,'Task 5.1a'!A4,Impressions)</f>
        <v>17167722</v>
      </c>
      <c r="C4" s="18">
        <f>AVERAGEIF(Posts!Campaign,'Task 5.1a'!A4,Impressions)</f>
        <v>153283.23214285713</v>
      </c>
      <c r="D4" s="18">
        <f>SUMIF(Posts!Campaign,'Task 5.1a'!A4,Likes)</f>
        <v>1599185</v>
      </c>
      <c r="E4" s="18">
        <f>AVERAGEIF(Posts!Campaign,'Task 5.1a'!A4,Likes)</f>
        <v>14278.4375</v>
      </c>
      <c r="F4" s="18">
        <f>SUMIF(Posts!Campaign,'Task 5.1a'!A4,Clicks)</f>
        <v>182775</v>
      </c>
      <c r="G4" s="18">
        <f>AVERAGEIF(Posts!Campaign,'Task 5.1a'!A4,Clicks)</f>
        <v>1631.9196428571429</v>
      </c>
    </row>
    <row r="5" spans="1:7" x14ac:dyDescent="0.3">
      <c r="A5" s="18" t="str">
        <v>MacBook Air M3 Campaign</v>
      </c>
      <c r="B5" s="18">
        <f>SUMIF(Posts!Campaign,'Task 5.1a'!A5,Impressions)</f>
        <v>12720433</v>
      </c>
      <c r="C5" s="18">
        <f>AVERAGEIF(Posts!Campaign,'Task 5.1a'!A5,Impressions)</f>
        <v>146211.8735632184</v>
      </c>
      <c r="D5" s="18">
        <f>SUMIF(Posts!Campaign,'Task 5.1a'!A5,Likes)</f>
        <v>1103676</v>
      </c>
      <c r="E5" s="18">
        <f>AVERAGEIF(Posts!Campaign,'Task 5.1a'!A5,Likes)</f>
        <v>12685.931034482759</v>
      </c>
      <c r="F5" s="18">
        <f>SUMIF(Posts!Campaign,'Task 5.1a'!A5,Clicks)</f>
        <v>141903</v>
      </c>
      <c r="G5" s="18">
        <f>AVERAGEIF(Posts!Campaign,'Task 5.1a'!A5,Clicks)</f>
        <v>1631.0689655172414</v>
      </c>
    </row>
    <row r="6" spans="1:7" x14ac:dyDescent="0.3">
      <c r="A6" s="18" t="str">
        <v>Apple Watch Ultra 2 Launch</v>
      </c>
      <c r="B6" s="18">
        <f>SUMIF(Posts!Campaign,'Task 5.1a'!A6,Impressions)</f>
        <v>18065641</v>
      </c>
      <c r="C6" s="18">
        <f>AVERAGEIF(Posts!Campaign,'Task 5.1a'!A6,Impressions)</f>
        <v>135831.8872180451</v>
      </c>
      <c r="D6" s="18">
        <f>SUMIF(Posts!Campaign,'Task 5.1a'!A6,Likes)</f>
        <v>1736534</v>
      </c>
      <c r="E6" s="18">
        <f>AVERAGEIF(Posts!Campaign,'Task 5.1a'!A6,Likes)</f>
        <v>13056.646616541353</v>
      </c>
      <c r="F6" s="18">
        <f>SUMIF(Posts!Campaign,'Task 5.1a'!A6,Clicks)</f>
        <v>204790</v>
      </c>
      <c r="G6" s="18">
        <f>AVERAGEIF(Posts!Campaign,'Task 5.1a'!A6,Clicks)</f>
        <v>1539.7744360902257</v>
      </c>
    </row>
    <row r="7" spans="1:7" x14ac:dyDescent="0.3">
      <c r="A7" s="18" t="str">
        <v>Sustainability Awareness Drive</v>
      </c>
      <c r="B7" s="18">
        <f>SUMIF(Posts!Campaign,'Task 5.1a'!A7,Impressions)</f>
        <v>17204288</v>
      </c>
      <c r="C7" s="18">
        <f>AVERAGEIF(Posts!Campaign,'Task 5.1a'!A7,Impressions)</f>
        <v>159298.96296296295</v>
      </c>
      <c r="D7" s="18">
        <f>SUMIF(Posts!Campaign,'Task 5.1a'!A7,Likes)</f>
        <v>1481603</v>
      </c>
      <c r="E7" s="18">
        <f>AVERAGEIF(Posts!Campaign,'Task 5.1a'!A7,Likes)</f>
        <v>13718.546296296296</v>
      </c>
      <c r="F7" s="18">
        <f>SUMIF(Posts!Campaign,'Task 5.1a'!A7,Clicks)</f>
        <v>172188</v>
      </c>
      <c r="G7" s="18">
        <f>AVERAGEIF(Posts!Campaign,'Task 5.1a'!A7,Clicks)</f>
        <v>1594.3333333333333</v>
      </c>
    </row>
    <row r="8" spans="1:7" x14ac:dyDescent="0.3">
      <c r="A8" s="18" t="str">
        <v>Apple Event September 2025</v>
      </c>
      <c r="B8" s="18">
        <f>SUMIF(Posts!Campaign,'Task 5.1a'!A8,Impressions)</f>
        <v>18885503</v>
      </c>
      <c r="C8" s="18">
        <f>AVERAGEIF(Posts!Campaign,'Task 5.1a'!A8,Impressions)</f>
        <v>148704.74803149607</v>
      </c>
      <c r="D8" s="18">
        <f>SUMIF(Posts!Campaign,'Task 5.1a'!A8,Likes)</f>
        <v>1766632</v>
      </c>
      <c r="E8" s="18">
        <f>AVERAGEIF(Posts!Campaign,'Task 5.1a'!A8,Likes)</f>
        <v>13910.488188976378</v>
      </c>
      <c r="F8" s="18">
        <f>SUMIF(Posts!Campaign,'Task 5.1a'!A8,Clicks)</f>
        <v>214947</v>
      </c>
      <c r="G8" s="18">
        <f>AVERAGEIF(Posts!Campaign,'Task 5.1a'!A8,Clicks)</f>
        <v>1692.4960629921259</v>
      </c>
    </row>
  </sheetData>
  <mergeCells count="1">
    <mergeCell ref="A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C0032-0B1D-4731-8581-41F18665F34E}">
  <dimension ref="A1:H8"/>
  <sheetViews>
    <sheetView workbookViewId="0">
      <selection activeCell="G7" sqref="G7"/>
    </sheetView>
  </sheetViews>
  <sheetFormatPr defaultRowHeight="14.4" x14ac:dyDescent="0.3"/>
  <cols>
    <col min="1" max="1" width="26" bestFit="1" customWidth="1"/>
    <col min="2" max="2" width="35.109375" customWidth="1"/>
    <col min="3" max="3" width="35.33203125" customWidth="1"/>
    <col min="4" max="4" width="25.77734375" bestFit="1" customWidth="1"/>
    <col min="5" max="5" width="11.88671875" bestFit="1" customWidth="1"/>
  </cols>
  <sheetData>
    <row r="1" spans="1:8" ht="15.6" x14ac:dyDescent="0.3">
      <c r="A1" s="57" t="s">
        <v>399</v>
      </c>
      <c r="B1" s="57"/>
      <c r="C1" s="57"/>
      <c r="D1" s="57"/>
      <c r="E1" s="57"/>
      <c r="F1" s="57"/>
      <c r="G1" s="57"/>
      <c r="H1" s="57"/>
    </row>
    <row r="3" spans="1:8" x14ac:dyDescent="0.3">
      <c r="A3" s="47" t="s">
        <v>57</v>
      </c>
      <c r="B3" s="47" t="s">
        <v>468</v>
      </c>
      <c r="C3" s="47" t="s">
        <v>469</v>
      </c>
      <c r="D3" s="47" t="s">
        <v>458</v>
      </c>
    </row>
    <row r="4" spans="1:8" x14ac:dyDescent="0.3">
      <c r="A4" s="2" t="s">
        <v>71</v>
      </c>
      <c r="B4">
        <v>0</v>
      </c>
      <c r="C4" s="4">
        <f>SUMIFS(Posts!Engagement_Rate,Posts!Campaign,A4,Timeline,"During")</f>
        <v>12.417431016075886</v>
      </c>
      <c r="D4" s="4"/>
    </row>
    <row r="5" spans="1:8" x14ac:dyDescent="0.3">
      <c r="A5" s="2" t="s">
        <v>59</v>
      </c>
      <c r="B5" s="4">
        <f>SUMIFS(Posts!Engagement_Rate,Posts!Campaign,A5,Timeline,"Before")</f>
        <v>11.762581973210116</v>
      </c>
      <c r="C5" s="4">
        <f>SUMIFS(Posts!Engagement_Rate,Posts!Campaign,A5,Timeline,"During")</f>
        <v>0.26407059547042716</v>
      </c>
      <c r="D5" s="23">
        <f>(C5-B5)/B5</f>
        <v>-0.97754994642572002</v>
      </c>
    </row>
    <row r="6" spans="1:8" x14ac:dyDescent="0.3">
      <c r="A6" s="2" t="s">
        <v>63</v>
      </c>
      <c r="B6" s="4">
        <f>SUMIFS(Posts!Engagement_Rate,Posts!Campaign,A6,Timeline,"Before")</f>
        <v>0.45485611165505191</v>
      </c>
      <c r="C6" s="4">
        <f>SUMIFS(Posts!Engagement_Rate,Posts!Campaign,A6,Timeline,"During")</f>
        <v>1.5102511934625773</v>
      </c>
      <c r="D6" s="23">
        <f t="shared" ref="D6:D8" si="0">(C6-B6)/B6</f>
        <v>2.3202833924058668</v>
      </c>
    </row>
    <row r="7" spans="1:8" x14ac:dyDescent="0.3">
      <c r="A7" s="2" t="s">
        <v>65</v>
      </c>
      <c r="B7" s="4">
        <f>SUMIFS(Posts!Engagement_Rate,Posts!Campaign,A7,Timeline,"Before")</f>
        <v>2.4123559544299074</v>
      </c>
      <c r="C7" s="4">
        <f>SUMIFS(Posts!Engagement_Rate,Posts!Campaign,A7,Timeline,"During")</f>
        <v>1.1195457798396971</v>
      </c>
      <c r="D7" s="23">
        <f t="shared" si="0"/>
        <v>-0.53591186334511309</v>
      </c>
    </row>
    <row r="8" spans="1:8" x14ac:dyDescent="0.3">
      <c r="A8" s="2" t="s">
        <v>60</v>
      </c>
      <c r="B8" s="4">
        <f>SUMIFS(Posts!Engagement_Rate,Posts!Campaign,A8,Timeline,"Before")</f>
        <v>10.451476797789228</v>
      </c>
      <c r="C8" s="4">
        <f>SUMIFS(Posts!Engagement_Rate,Posts!Campaign,A8,Timeline,"During")</f>
        <v>0.82554288471884352</v>
      </c>
      <c r="D8" s="23">
        <f t="shared" si="0"/>
        <v>-0.92101184352306376</v>
      </c>
    </row>
  </sheetData>
  <mergeCells count="1">
    <mergeCell ref="A1:H1"/>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ED58-B2F7-450B-936D-378686C30450}">
  <dimension ref="A1:K24"/>
  <sheetViews>
    <sheetView topLeftCell="A6" workbookViewId="0">
      <selection activeCell="B9" sqref="B9"/>
    </sheetView>
  </sheetViews>
  <sheetFormatPr defaultRowHeight="14.4" x14ac:dyDescent="0.3"/>
  <cols>
    <col min="1" max="1" width="26" bestFit="1" customWidth="1"/>
    <col min="2" max="2" width="19.88671875" bestFit="1" customWidth="1"/>
    <col min="3" max="3" width="12.88671875" bestFit="1" customWidth="1"/>
    <col min="4" max="4" width="13.33203125" customWidth="1"/>
    <col min="5" max="5" width="20.21875" bestFit="1" customWidth="1"/>
    <col min="6" max="6" width="12" bestFit="1" customWidth="1"/>
    <col min="11" max="11" width="8" customWidth="1"/>
  </cols>
  <sheetData>
    <row r="1" spans="1:11" ht="15.6" x14ac:dyDescent="0.3">
      <c r="A1" s="12" t="s">
        <v>382</v>
      </c>
    </row>
    <row r="3" spans="1:11" x14ac:dyDescent="0.3">
      <c r="A3" s="33" t="s">
        <v>457</v>
      </c>
      <c r="B3" s="34" t="s">
        <v>458</v>
      </c>
      <c r="C3" s="34" t="s">
        <v>453</v>
      </c>
      <c r="D3" s="34" t="s">
        <v>460</v>
      </c>
      <c r="E3" s="35" t="s">
        <v>380</v>
      </c>
    </row>
    <row r="4" spans="1:11" x14ac:dyDescent="0.3">
      <c r="A4" s="36" t="s">
        <v>60</v>
      </c>
      <c r="B4" s="37">
        <v>0.32</v>
      </c>
      <c r="C4" s="38">
        <v>40000</v>
      </c>
      <c r="D4" s="39">
        <f>C4/$C$9</f>
        <v>0.12698412698412698</v>
      </c>
      <c r="E4" s="40">
        <f>B4/D4</f>
        <v>2.52</v>
      </c>
      <c r="H4" s="23"/>
      <c r="J4" s="23"/>
      <c r="K4" s="4"/>
    </row>
    <row r="5" spans="1:11" x14ac:dyDescent="0.3">
      <c r="A5" s="24" t="s">
        <v>59</v>
      </c>
      <c r="B5" s="4">
        <v>0.41</v>
      </c>
      <c r="C5" s="22">
        <v>55000</v>
      </c>
      <c r="D5" s="25">
        <f>C5/$C$9</f>
        <v>0.17460317460317459</v>
      </c>
      <c r="E5" s="26">
        <f>B5/D5</f>
        <v>2.3481818181818181</v>
      </c>
      <c r="H5" s="23"/>
      <c r="J5" s="23"/>
      <c r="K5" s="4"/>
    </row>
    <row r="6" spans="1:11" x14ac:dyDescent="0.3">
      <c r="A6" s="24" t="s">
        <v>65</v>
      </c>
      <c r="B6" s="4">
        <v>0.38</v>
      </c>
      <c r="C6" s="22">
        <v>60000</v>
      </c>
      <c r="D6" s="25">
        <f>C6/$C$9</f>
        <v>0.19047619047619047</v>
      </c>
      <c r="E6" s="26">
        <f>B6/D6</f>
        <v>1.9950000000000001</v>
      </c>
      <c r="H6" s="23"/>
      <c r="J6" s="23"/>
      <c r="K6" s="4"/>
    </row>
    <row r="7" spans="1:11" x14ac:dyDescent="0.3">
      <c r="A7" s="24" t="s">
        <v>71</v>
      </c>
      <c r="B7" s="4">
        <v>0.47</v>
      </c>
      <c r="C7" s="22">
        <v>75000</v>
      </c>
      <c r="D7" s="25">
        <f>C7/$C$9</f>
        <v>0.23809523809523808</v>
      </c>
      <c r="E7" s="26">
        <f>B7/D7</f>
        <v>1.974</v>
      </c>
      <c r="H7" s="23"/>
      <c r="J7" s="23"/>
      <c r="K7" s="4"/>
    </row>
    <row r="8" spans="1:11" x14ac:dyDescent="0.3">
      <c r="A8" s="27" t="s">
        <v>63</v>
      </c>
      <c r="B8" s="41">
        <v>0.45</v>
      </c>
      <c r="C8" s="29">
        <v>85000</v>
      </c>
      <c r="D8" s="30">
        <f>C8/$C$9</f>
        <v>0.26984126984126983</v>
      </c>
      <c r="E8" s="32">
        <f>B8/D8</f>
        <v>1.6676470588235295</v>
      </c>
      <c r="H8" s="23"/>
      <c r="J8" s="23"/>
      <c r="K8" s="4"/>
    </row>
    <row r="9" spans="1:11" x14ac:dyDescent="0.3">
      <c r="A9" s="27"/>
      <c r="B9" s="28" t="s">
        <v>459</v>
      </c>
      <c r="C9" s="29">
        <f>SUM(C4:C8)</f>
        <v>315000</v>
      </c>
      <c r="D9" s="30"/>
      <c r="E9" s="31"/>
    </row>
    <row r="11" spans="1:11" ht="15.6" x14ac:dyDescent="0.3">
      <c r="A11" s="69" t="s">
        <v>377</v>
      </c>
      <c r="B11" s="69"/>
      <c r="C11" s="69"/>
      <c r="D11" s="13"/>
      <c r="E11" s="13"/>
      <c r="F11" s="13"/>
      <c r="G11" s="13"/>
      <c r="H11" s="13"/>
      <c r="I11" s="13"/>
    </row>
    <row r="12" spans="1:11" ht="15.6" x14ac:dyDescent="0.3">
      <c r="A12" s="67" t="s">
        <v>60</v>
      </c>
      <c r="B12" s="67"/>
      <c r="C12" s="67"/>
    </row>
    <row r="16" spans="1:11" x14ac:dyDescent="0.3">
      <c r="A16" s="1" t="s">
        <v>0</v>
      </c>
      <c r="B16" t="s">
        <v>456</v>
      </c>
    </row>
    <row r="17" spans="1:3" x14ac:dyDescent="0.3">
      <c r="A17" s="2" t="s">
        <v>60</v>
      </c>
      <c r="B17">
        <v>107259</v>
      </c>
    </row>
    <row r="18" spans="1:3" x14ac:dyDescent="0.3">
      <c r="A18" s="2" t="s">
        <v>63</v>
      </c>
      <c r="B18">
        <v>106800</v>
      </c>
    </row>
    <row r="19" spans="1:3" x14ac:dyDescent="0.3">
      <c r="A19" s="2" t="s">
        <v>65</v>
      </c>
      <c r="B19">
        <v>99093</v>
      </c>
    </row>
    <row r="20" spans="1:3" x14ac:dyDescent="0.3">
      <c r="A20" s="2" t="s">
        <v>59</v>
      </c>
      <c r="B20">
        <v>50927</v>
      </c>
    </row>
    <row r="23" spans="1:3" ht="15.6" x14ac:dyDescent="0.3">
      <c r="A23" s="69" t="s">
        <v>378</v>
      </c>
      <c r="B23" s="69"/>
      <c r="C23" s="69"/>
    </row>
    <row r="24" spans="1:3" ht="15.6" x14ac:dyDescent="0.3">
      <c r="A24" s="67" t="s">
        <v>60</v>
      </c>
      <c r="B24" s="67"/>
      <c r="C24" s="67"/>
    </row>
  </sheetData>
  <sortState xmlns:xlrd2="http://schemas.microsoft.com/office/spreadsheetml/2017/richdata2" ref="A4:E8">
    <sortCondition descending="1" ref="E4:E8"/>
  </sortState>
  <mergeCells count="4">
    <mergeCell ref="A11:C11"/>
    <mergeCell ref="A12:C12"/>
    <mergeCell ref="A23:C23"/>
    <mergeCell ref="A24:C24"/>
  </mergeCells>
  <conditionalFormatting sqref="A4:A8">
    <cfRule type="top10" dxfId="1" priority="3" rank="1"/>
  </conditionalFormatting>
  <conditionalFormatting sqref="E4:E8">
    <cfRule type="top10" dxfId="0" priority="1" rank="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D279-7DC4-4BAA-814A-DDFBF7A5E0D4}">
  <dimension ref="A1:N55"/>
  <sheetViews>
    <sheetView topLeftCell="E4" zoomScaleNormal="100" workbookViewId="0">
      <pane ySplit="1" topLeftCell="A17" activePane="bottomLeft" state="frozen"/>
      <selection activeCell="A4" sqref="A4"/>
      <selection pane="bottomLeft" activeCell="L40" sqref="L40"/>
    </sheetView>
  </sheetViews>
  <sheetFormatPr defaultRowHeight="14.4" x14ac:dyDescent="0.3"/>
  <cols>
    <col min="1" max="1" width="21.5546875" bestFit="1" customWidth="1"/>
    <col min="2" max="2" width="15.5546875" bestFit="1" customWidth="1"/>
    <col min="3" max="3" width="8.21875" bestFit="1" customWidth="1"/>
    <col min="4" max="4" width="7" bestFit="1" customWidth="1"/>
    <col min="5" max="5" width="8.44140625" bestFit="1" customWidth="1"/>
    <col min="6" max="6" width="10.77734375" bestFit="1" customWidth="1"/>
  </cols>
  <sheetData>
    <row r="1" spans="1:14" ht="15.6" x14ac:dyDescent="0.3">
      <c r="A1" s="69" t="s">
        <v>381</v>
      </c>
      <c r="B1" s="69"/>
      <c r="C1" s="69"/>
      <c r="D1" s="69"/>
      <c r="E1" s="69"/>
      <c r="F1" s="69"/>
      <c r="G1" s="69"/>
      <c r="H1" s="69"/>
      <c r="I1" s="69"/>
      <c r="J1" s="69"/>
      <c r="K1" s="69"/>
      <c r="L1" s="69"/>
      <c r="M1" s="69"/>
      <c r="N1" s="69"/>
    </row>
    <row r="3" spans="1:14" x14ac:dyDescent="0.3">
      <c r="A3" s="1" t="s">
        <v>379</v>
      </c>
      <c r="B3" s="1" t="s">
        <v>372</v>
      </c>
    </row>
    <row r="4" spans="1:14" x14ac:dyDescent="0.3">
      <c r="A4" s="1" t="s">
        <v>0</v>
      </c>
      <c r="B4" t="s">
        <v>29</v>
      </c>
      <c r="C4" t="s">
        <v>30</v>
      </c>
      <c r="D4" t="s">
        <v>31</v>
      </c>
      <c r="E4" t="s">
        <v>32</v>
      </c>
      <c r="F4" t="s">
        <v>20</v>
      </c>
    </row>
    <row r="5" spans="1:14" x14ac:dyDescent="0.3">
      <c r="A5" s="2" t="s">
        <v>400</v>
      </c>
      <c r="B5">
        <v>3777</v>
      </c>
      <c r="C5">
        <v>0</v>
      </c>
      <c r="D5">
        <v>7432</v>
      </c>
      <c r="E5">
        <v>15994</v>
      </c>
      <c r="F5">
        <v>27203</v>
      </c>
    </row>
    <row r="6" spans="1:14" x14ac:dyDescent="0.3">
      <c r="A6" s="2" t="s">
        <v>401</v>
      </c>
      <c r="B6">
        <v>7215</v>
      </c>
      <c r="C6">
        <v>0</v>
      </c>
      <c r="D6">
        <v>8369</v>
      </c>
      <c r="E6">
        <v>7478</v>
      </c>
      <c r="F6">
        <v>23062</v>
      </c>
    </row>
    <row r="7" spans="1:14" x14ac:dyDescent="0.3">
      <c r="A7" s="2" t="s">
        <v>402</v>
      </c>
      <c r="B7">
        <v>13130</v>
      </c>
      <c r="C7">
        <v>6728</v>
      </c>
      <c r="D7">
        <v>6073</v>
      </c>
      <c r="E7">
        <v>0</v>
      </c>
      <c r="F7">
        <v>25931</v>
      </c>
    </row>
    <row r="8" spans="1:14" x14ac:dyDescent="0.3">
      <c r="A8" s="2" t="s">
        <v>403</v>
      </c>
      <c r="B8">
        <v>4885</v>
      </c>
      <c r="C8">
        <v>0</v>
      </c>
      <c r="D8">
        <v>15084</v>
      </c>
      <c r="E8">
        <v>8653</v>
      </c>
      <c r="F8">
        <v>28622</v>
      </c>
    </row>
    <row r="9" spans="1:14" x14ac:dyDescent="0.3">
      <c r="A9" s="2" t="s">
        <v>404</v>
      </c>
      <c r="B9">
        <v>5928</v>
      </c>
      <c r="C9">
        <v>5442</v>
      </c>
      <c r="D9">
        <v>8463</v>
      </c>
      <c r="E9">
        <v>0</v>
      </c>
      <c r="F9">
        <v>19833</v>
      </c>
    </row>
    <row r="10" spans="1:14" x14ac:dyDescent="0.3">
      <c r="A10" s="2" t="s">
        <v>405</v>
      </c>
      <c r="B10">
        <v>0</v>
      </c>
      <c r="C10">
        <v>11378</v>
      </c>
      <c r="D10">
        <v>7151</v>
      </c>
      <c r="E10">
        <v>0</v>
      </c>
      <c r="F10">
        <v>18529</v>
      </c>
    </row>
    <row r="11" spans="1:14" x14ac:dyDescent="0.3">
      <c r="A11" s="2" t="s">
        <v>406</v>
      </c>
      <c r="B11">
        <v>4967</v>
      </c>
      <c r="C11">
        <v>0</v>
      </c>
      <c r="D11">
        <v>7092</v>
      </c>
      <c r="E11">
        <v>1826</v>
      </c>
      <c r="F11">
        <v>13885</v>
      </c>
    </row>
    <row r="12" spans="1:14" x14ac:dyDescent="0.3">
      <c r="A12" s="2" t="s">
        <v>407</v>
      </c>
      <c r="B12">
        <v>0</v>
      </c>
      <c r="C12">
        <v>15403</v>
      </c>
      <c r="D12">
        <v>7733</v>
      </c>
      <c r="E12">
        <v>9082</v>
      </c>
      <c r="F12">
        <v>32218</v>
      </c>
    </row>
    <row r="13" spans="1:14" x14ac:dyDescent="0.3">
      <c r="A13" s="2" t="s">
        <v>408</v>
      </c>
      <c r="B13">
        <v>0</v>
      </c>
      <c r="C13">
        <v>7537</v>
      </c>
      <c r="D13">
        <v>6039</v>
      </c>
      <c r="E13">
        <v>3445</v>
      </c>
      <c r="F13">
        <v>17021</v>
      </c>
    </row>
    <row r="14" spans="1:14" x14ac:dyDescent="0.3">
      <c r="A14" s="2" t="s">
        <v>409</v>
      </c>
      <c r="B14">
        <v>3213</v>
      </c>
      <c r="C14">
        <v>4847</v>
      </c>
      <c r="D14">
        <v>3497</v>
      </c>
      <c r="E14">
        <v>2543</v>
      </c>
      <c r="F14">
        <v>14100</v>
      </c>
    </row>
    <row r="15" spans="1:14" x14ac:dyDescent="0.3">
      <c r="A15" s="2" t="s">
        <v>410</v>
      </c>
      <c r="B15">
        <v>6853</v>
      </c>
      <c r="C15">
        <v>0</v>
      </c>
      <c r="D15">
        <v>12800</v>
      </c>
      <c r="E15">
        <v>7033</v>
      </c>
      <c r="F15">
        <v>26686</v>
      </c>
    </row>
    <row r="16" spans="1:14" x14ac:dyDescent="0.3">
      <c r="A16" s="2" t="s">
        <v>411</v>
      </c>
      <c r="B16">
        <v>13835</v>
      </c>
      <c r="C16">
        <v>0</v>
      </c>
      <c r="D16">
        <v>0</v>
      </c>
      <c r="E16">
        <v>9427</v>
      </c>
      <c r="F16">
        <v>23262</v>
      </c>
    </row>
    <row r="17" spans="1:6" x14ac:dyDescent="0.3">
      <c r="A17" s="2" t="s">
        <v>412</v>
      </c>
      <c r="B17">
        <v>8231</v>
      </c>
      <c r="C17">
        <v>1513</v>
      </c>
      <c r="D17">
        <v>5753</v>
      </c>
      <c r="E17">
        <v>5303</v>
      </c>
      <c r="F17">
        <v>20800</v>
      </c>
    </row>
    <row r="18" spans="1:6" x14ac:dyDescent="0.3">
      <c r="A18" s="2" t="s">
        <v>413</v>
      </c>
      <c r="B18">
        <v>7396</v>
      </c>
      <c r="C18">
        <v>8228</v>
      </c>
      <c r="D18">
        <v>6593</v>
      </c>
      <c r="E18">
        <v>0</v>
      </c>
      <c r="F18">
        <v>22217</v>
      </c>
    </row>
    <row r="19" spans="1:6" x14ac:dyDescent="0.3">
      <c r="A19" s="2" t="s">
        <v>414</v>
      </c>
      <c r="B19">
        <v>7442</v>
      </c>
      <c r="C19">
        <v>6121</v>
      </c>
      <c r="D19">
        <v>0</v>
      </c>
      <c r="E19">
        <v>11613</v>
      </c>
      <c r="F19">
        <v>25176</v>
      </c>
    </row>
    <row r="20" spans="1:6" x14ac:dyDescent="0.3">
      <c r="A20" s="2" t="s">
        <v>415</v>
      </c>
      <c r="B20">
        <v>0</v>
      </c>
      <c r="C20">
        <v>2199</v>
      </c>
      <c r="D20">
        <v>3925</v>
      </c>
      <c r="E20">
        <v>9308</v>
      </c>
      <c r="F20">
        <v>15432</v>
      </c>
    </row>
    <row r="21" spans="1:6" x14ac:dyDescent="0.3">
      <c r="A21" s="2" t="s">
        <v>416</v>
      </c>
      <c r="B21">
        <v>13040</v>
      </c>
      <c r="C21">
        <v>0</v>
      </c>
      <c r="D21">
        <v>4942</v>
      </c>
      <c r="E21">
        <v>0</v>
      </c>
      <c r="F21">
        <v>17982</v>
      </c>
    </row>
    <row r="22" spans="1:6" x14ac:dyDescent="0.3">
      <c r="A22" s="2" t="s">
        <v>417</v>
      </c>
      <c r="B22">
        <v>9904</v>
      </c>
      <c r="C22">
        <v>0</v>
      </c>
      <c r="D22">
        <v>8530</v>
      </c>
      <c r="E22">
        <v>0</v>
      </c>
      <c r="F22">
        <v>18434</v>
      </c>
    </row>
    <row r="23" spans="1:6" x14ac:dyDescent="0.3">
      <c r="A23" s="2" t="s">
        <v>418</v>
      </c>
      <c r="B23">
        <v>4808</v>
      </c>
      <c r="C23">
        <v>2421</v>
      </c>
      <c r="D23">
        <v>0</v>
      </c>
      <c r="E23">
        <v>10348</v>
      </c>
      <c r="F23">
        <v>17577</v>
      </c>
    </row>
    <row r="24" spans="1:6" x14ac:dyDescent="0.3">
      <c r="A24" s="2" t="s">
        <v>419</v>
      </c>
      <c r="B24">
        <v>0</v>
      </c>
      <c r="C24">
        <v>0</v>
      </c>
      <c r="D24">
        <v>16256</v>
      </c>
      <c r="E24">
        <v>7115</v>
      </c>
      <c r="F24">
        <v>23371</v>
      </c>
    </row>
    <row r="25" spans="1:6" x14ac:dyDescent="0.3">
      <c r="A25" s="2" t="s">
        <v>420</v>
      </c>
      <c r="B25">
        <v>23973</v>
      </c>
      <c r="C25">
        <v>0</v>
      </c>
      <c r="D25">
        <v>0</v>
      </c>
      <c r="E25">
        <v>6918</v>
      </c>
      <c r="F25">
        <v>30891</v>
      </c>
    </row>
    <row r="26" spans="1:6" x14ac:dyDescent="0.3">
      <c r="A26" s="2" t="s">
        <v>421</v>
      </c>
      <c r="B26">
        <v>0</v>
      </c>
      <c r="C26">
        <v>14812</v>
      </c>
      <c r="D26">
        <v>0</v>
      </c>
      <c r="E26">
        <v>12442</v>
      </c>
      <c r="F26">
        <v>27254</v>
      </c>
    </row>
    <row r="27" spans="1:6" x14ac:dyDescent="0.3">
      <c r="A27" s="2" t="s">
        <v>422</v>
      </c>
      <c r="B27">
        <v>0</v>
      </c>
      <c r="C27">
        <v>4942</v>
      </c>
      <c r="D27">
        <v>8687</v>
      </c>
      <c r="E27">
        <v>3056</v>
      </c>
      <c r="F27">
        <v>16685</v>
      </c>
    </row>
    <row r="28" spans="1:6" x14ac:dyDescent="0.3">
      <c r="A28" s="2" t="s">
        <v>423</v>
      </c>
      <c r="B28">
        <v>0</v>
      </c>
      <c r="C28">
        <v>4882</v>
      </c>
      <c r="D28">
        <v>9649</v>
      </c>
      <c r="E28">
        <v>5220</v>
      </c>
      <c r="F28">
        <v>19751</v>
      </c>
    </row>
    <row r="29" spans="1:6" x14ac:dyDescent="0.3">
      <c r="A29" s="2" t="s">
        <v>424</v>
      </c>
      <c r="B29">
        <v>5206</v>
      </c>
      <c r="C29">
        <v>9648</v>
      </c>
      <c r="D29">
        <v>6384</v>
      </c>
      <c r="E29">
        <v>0</v>
      </c>
      <c r="F29">
        <v>21238</v>
      </c>
    </row>
    <row r="30" spans="1:6" x14ac:dyDescent="0.3">
      <c r="A30" s="2" t="s">
        <v>425</v>
      </c>
      <c r="B30">
        <v>14537</v>
      </c>
      <c r="C30">
        <v>8945</v>
      </c>
      <c r="D30">
        <v>0</v>
      </c>
      <c r="E30">
        <v>5143</v>
      </c>
      <c r="F30">
        <v>28625</v>
      </c>
    </row>
    <row r="31" spans="1:6" x14ac:dyDescent="0.3">
      <c r="A31" s="2" t="s">
        <v>426</v>
      </c>
      <c r="B31">
        <v>8999</v>
      </c>
      <c r="C31">
        <v>5402</v>
      </c>
      <c r="D31">
        <v>0</v>
      </c>
      <c r="E31">
        <v>3929</v>
      </c>
      <c r="F31">
        <v>18330</v>
      </c>
    </row>
    <row r="32" spans="1:6" x14ac:dyDescent="0.3">
      <c r="A32" s="2" t="s">
        <v>427</v>
      </c>
      <c r="B32">
        <v>3461</v>
      </c>
      <c r="C32">
        <v>949</v>
      </c>
      <c r="D32">
        <v>6642</v>
      </c>
      <c r="E32">
        <v>4790</v>
      </c>
      <c r="F32">
        <v>15842</v>
      </c>
    </row>
    <row r="33" spans="1:13" x14ac:dyDescent="0.3">
      <c r="A33" s="2" t="s">
        <v>428</v>
      </c>
      <c r="B33">
        <v>4802</v>
      </c>
      <c r="C33">
        <v>8527</v>
      </c>
      <c r="D33">
        <v>6275</v>
      </c>
      <c r="E33">
        <v>0</v>
      </c>
      <c r="F33">
        <v>19604</v>
      </c>
    </row>
    <row r="34" spans="1:13" x14ac:dyDescent="0.3">
      <c r="A34" s="2" t="s">
        <v>429</v>
      </c>
      <c r="B34">
        <v>4314</v>
      </c>
      <c r="C34">
        <v>7541</v>
      </c>
      <c r="D34">
        <v>0</v>
      </c>
      <c r="E34">
        <v>7328</v>
      </c>
      <c r="F34">
        <v>19183</v>
      </c>
    </row>
    <row r="35" spans="1:13" x14ac:dyDescent="0.3">
      <c r="A35" s="2" t="s">
        <v>430</v>
      </c>
      <c r="B35">
        <v>4214</v>
      </c>
      <c r="C35">
        <v>16577</v>
      </c>
      <c r="D35">
        <v>3079</v>
      </c>
      <c r="E35">
        <v>0</v>
      </c>
      <c r="F35">
        <v>23870</v>
      </c>
    </row>
    <row r="36" spans="1:13" ht="15.6" x14ac:dyDescent="0.3">
      <c r="A36" s="2" t="s">
        <v>431</v>
      </c>
      <c r="B36">
        <v>0</v>
      </c>
      <c r="C36">
        <v>9254</v>
      </c>
      <c r="D36">
        <v>9202</v>
      </c>
      <c r="E36">
        <v>8601</v>
      </c>
      <c r="F36">
        <v>27057</v>
      </c>
      <c r="H36" s="14"/>
      <c r="I36" s="16"/>
      <c r="J36" s="16"/>
      <c r="K36" s="16"/>
      <c r="L36" s="16"/>
      <c r="M36" s="16"/>
    </row>
    <row r="37" spans="1:13" x14ac:dyDescent="0.3">
      <c r="A37" s="2" t="s">
        <v>432</v>
      </c>
      <c r="B37">
        <v>2919</v>
      </c>
      <c r="C37">
        <v>7471</v>
      </c>
      <c r="D37">
        <v>7346</v>
      </c>
      <c r="E37">
        <v>1001</v>
      </c>
      <c r="F37">
        <v>18737</v>
      </c>
      <c r="I37" s="15"/>
      <c r="J37" s="7"/>
      <c r="K37" s="7"/>
    </row>
    <row r="38" spans="1:13" x14ac:dyDescent="0.3">
      <c r="A38" s="2" t="s">
        <v>433</v>
      </c>
      <c r="B38">
        <v>0</v>
      </c>
      <c r="C38">
        <v>0</v>
      </c>
      <c r="D38">
        <v>20155</v>
      </c>
      <c r="E38">
        <v>7654</v>
      </c>
      <c r="F38">
        <v>27809</v>
      </c>
      <c r="J38" s="5"/>
    </row>
    <row r="39" spans="1:13" x14ac:dyDescent="0.3">
      <c r="A39" s="2" t="s">
        <v>434</v>
      </c>
      <c r="B39">
        <v>3643</v>
      </c>
      <c r="C39">
        <v>7260</v>
      </c>
      <c r="D39">
        <v>11789</v>
      </c>
      <c r="E39">
        <v>0</v>
      </c>
      <c r="F39">
        <v>22692</v>
      </c>
      <c r="J39" s="5"/>
    </row>
    <row r="40" spans="1:13" x14ac:dyDescent="0.3">
      <c r="A40" s="2" t="s">
        <v>435</v>
      </c>
      <c r="B40">
        <v>0</v>
      </c>
      <c r="C40">
        <v>0</v>
      </c>
      <c r="D40">
        <v>16086</v>
      </c>
      <c r="E40">
        <v>12447</v>
      </c>
      <c r="F40">
        <v>28533</v>
      </c>
      <c r="J40" s="5"/>
    </row>
    <row r="41" spans="1:13" x14ac:dyDescent="0.3">
      <c r="A41" s="2" t="s">
        <v>436</v>
      </c>
      <c r="B41">
        <v>0</v>
      </c>
      <c r="C41">
        <v>12622</v>
      </c>
      <c r="D41">
        <v>1020</v>
      </c>
      <c r="E41">
        <v>0</v>
      </c>
      <c r="F41">
        <v>13642</v>
      </c>
      <c r="J41" s="5"/>
    </row>
    <row r="42" spans="1:13" x14ac:dyDescent="0.3">
      <c r="A42" s="2" t="s">
        <v>437</v>
      </c>
      <c r="B42">
        <v>11468</v>
      </c>
      <c r="C42">
        <v>5101</v>
      </c>
      <c r="D42">
        <v>1290</v>
      </c>
      <c r="E42">
        <v>0</v>
      </c>
      <c r="F42">
        <v>17859</v>
      </c>
    </row>
    <row r="43" spans="1:13" x14ac:dyDescent="0.3">
      <c r="A43" s="2" t="s">
        <v>438</v>
      </c>
      <c r="B43">
        <v>15087</v>
      </c>
      <c r="C43">
        <v>0</v>
      </c>
      <c r="D43">
        <v>0</v>
      </c>
      <c r="E43">
        <v>15359</v>
      </c>
      <c r="F43">
        <v>30446</v>
      </c>
    </row>
    <row r="44" spans="1:13" x14ac:dyDescent="0.3">
      <c r="A44" s="2" t="s">
        <v>439</v>
      </c>
      <c r="B44">
        <v>0</v>
      </c>
      <c r="C44">
        <v>7432</v>
      </c>
      <c r="D44">
        <v>6326</v>
      </c>
      <c r="E44">
        <v>6631</v>
      </c>
      <c r="F44">
        <v>20389</v>
      </c>
    </row>
    <row r="45" spans="1:13" x14ac:dyDescent="0.3">
      <c r="A45" s="2" t="s">
        <v>440</v>
      </c>
      <c r="B45">
        <v>2994</v>
      </c>
      <c r="C45">
        <v>2535</v>
      </c>
      <c r="D45">
        <v>8723</v>
      </c>
      <c r="E45">
        <v>3555</v>
      </c>
      <c r="F45">
        <v>17807</v>
      </c>
    </row>
    <row r="46" spans="1:13" x14ac:dyDescent="0.3">
      <c r="A46" s="2" t="s">
        <v>441</v>
      </c>
      <c r="B46">
        <v>8292</v>
      </c>
      <c r="C46">
        <v>19728</v>
      </c>
      <c r="D46">
        <v>0</v>
      </c>
      <c r="E46">
        <v>0</v>
      </c>
      <c r="F46">
        <v>28020</v>
      </c>
    </row>
    <row r="47" spans="1:13" x14ac:dyDescent="0.3">
      <c r="A47" s="2" t="s">
        <v>442</v>
      </c>
      <c r="B47">
        <v>0</v>
      </c>
      <c r="C47">
        <v>21227</v>
      </c>
      <c r="D47">
        <v>0</v>
      </c>
      <c r="E47">
        <v>4189</v>
      </c>
      <c r="F47">
        <v>25416</v>
      </c>
    </row>
    <row r="48" spans="1:13" x14ac:dyDescent="0.3">
      <c r="A48" s="2" t="s">
        <v>443</v>
      </c>
      <c r="B48">
        <v>6128</v>
      </c>
      <c r="C48">
        <v>1660</v>
      </c>
      <c r="D48">
        <v>6272</v>
      </c>
      <c r="E48">
        <v>1567</v>
      </c>
      <c r="F48">
        <v>15627</v>
      </c>
    </row>
    <row r="49" spans="1:6" x14ac:dyDescent="0.3">
      <c r="A49" s="2" t="s">
        <v>444</v>
      </c>
      <c r="B49">
        <v>1425</v>
      </c>
      <c r="C49">
        <v>4542</v>
      </c>
      <c r="D49">
        <v>8319</v>
      </c>
      <c r="E49">
        <v>6434</v>
      </c>
      <c r="F49">
        <v>20720</v>
      </c>
    </row>
    <row r="50" spans="1:6" x14ac:dyDescent="0.3">
      <c r="A50" s="2" t="s">
        <v>445</v>
      </c>
      <c r="B50">
        <v>0</v>
      </c>
      <c r="C50">
        <v>24995</v>
      </c>
      <c r="D50">
        <v>0</v>
      </c>
      <c r="E50">
        <v>0</v>
      </c>
      <c r="F50">
        <v>24995</v>
      </c>
    </row>
    <row r="51" spans="1:6" x14ac:dyDescent="0.3">
      <c r="A51" s="2" t="s">
        <v>446</v>
      </c>
      <c r="B51">
        <v>15012</v>
      </c>
      <c r="C51">
        <v>0</v>
      </c>
      <c r="D51">
        <v>7058</v>
      </c>
      <c r="E51">
        <v>0</v>
      </c>
      <c r="F51">
        <v>22070</v>
      </c>
    </row>
    <row r="52" spans="1:6" x14ac:dyDescent="0.3">
      <c r="A52" s="2" t="s">
        <v>447</v>
      </c>
      <c r="B52">
        <v>0</v>
      </c>
      <c r="C52">
        <v>1512</v>
      </c>
      <c r="D52">
        <v>15937</v>
      </c>
      <c r="E52">
        <v>0</v>
      </c>
      <c r="F52">
        <v>17449</v>
      </c>
    </row>
    <row r="53" spans="1:6" x14ac:dyDescent="0.3">
      <c r="A53" s="2" t="s">
        <v>448</v>
      </c>
      <c r="B53">
        <v>7959</v>
      </c>
      <c r="C53">
        <v>2960</v>
      </c>
      <c r="D53">
        <v>0</v>
      </c>
      <c r="E53">
        <v>5210</v>
      </c>
      <c r="F53">
        <v>16129</v>
      </c>
    </row>
    <row r="54" spans="1:6" x14ac:dyDescent="0.3">
      <c r="A54" s="2" t="s">
        <v>449</v>
      </c>
      <c r="B54">
        <v>2805</v>
      </c>
      <c r="C54">
        <v>8146</v>
      </c>
      <c r="D54">
        <v>7436</v>
      </c>
      <c r="E54">
        <v>0</v>
      </c>
      <c r="F54">
        <v>18387</v>
      </c>
    </row>
    <row r="55" spans="1:6" x14ac:dyDescent="0.3">
      <c r="A55" s="2" t="s">
        <v>20</v>
      </c>
      <c r="B55">
        <v>261862</v>
      </c>
      <c r="C55">
        <v>290487</v>
      </c>
      <c r="D55" s="49">
        <v>303407</v>
      </c>
      <c r="E55">
        <v>230642</v>
      </c>
      <c r="F55">
        <v>1086398</v>
      </c>
    </row>
  </sheetData>
  <mergeCells count="1">
    <mergeCell ref="A1:N1"/>
  </mergeCell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EA38-365C-43BD-AD7C-16A025E9AF1B}">
  <dimension ref="A1:C53"/>
  <sheetViews>
    <sheetView workbookViewId="0">
      <selection activeCell="A2" sqref="A2"/>
    </sheetView>
  </sheetViews>
  <sheetFormatPr defaultRowHeight="14.4" x14ac:dyDescent="0.3"/>
  <cols>
    <col min="1" max="1" width="21.5546875" bestFit="1" customWidth="1"/>
    <col min="2" max="2" width="14.6640625" customWidth="1"/>
  </cols>
  <sheetData>
    <row r="1" spans="1:3" ht="15.6" x14ac:dyDescent="0.3">
      <c r="A1" s="70" t="s">
        <v>450</v>
      </c>
      <c r="B1" s="70"/>
      <c r="C1" s="70"/>
    </row>
    <row r="3" spans="1:3" x14ac:dyDescent="0.3">
      <c r="A3" s="1" t="s">
        <v>0</v>
      </c>
      <c r="B3" t="s">
        <v>451</v>
      </c>
    </row>
    <row r="4" spans="1:3" x14ac:dyDescent="0.3">
      <c r="A4" s="45" t="s">
        <v>407</v>
      </c>
      <c r="B4" s="46">
        <v>32218</v>
      </c>
    </row>
    <row r="5" spans="1:3" x14ac:dyDescent="0.3">
      <c r="A5" s="2" t="s">
        <v>420</v>
      </c>
      <c r="B5">
        <v>30891</v>
      </c>
    </row>
    <row r="6" spans="1:3" x14ac:dyDescent="0.3">
      <c r="A6" s="2" t="s">
        <v>438</v>
      </c>
      <c r="B6">
        <v>30446</v>
      </c>
    </row>
    <row r="7" spans="1:3" x14ac:dyDescent="0.3">
      <c r="A7" s="2" t="s">
        <v>425</v>
      </c>
      <c r="B7">
        <v>28625</v>
      </c>
    </row>
    <row r="8" spans="1:3" x14ac:dyDescent="0.3">
      <c r="A8" s="2" t="s">
        <v>403</v>
      </c>
      <c r="B8">
        <v>28622</v>
      </c>
    </row>
    <row r="9" spans="1:3" x14ac:dyDescent="0.3">
      <c r="A9" s="2" t="s">
        <v>435</v>
      </c>
      <c r="B9">
        <v>28533</v>
      </c>
    </row>
    <row r="10" spans="1:3" x14ac:dyDescent="0.3">
      <c r="A10" s="2" t="s">
        <v>441</v>
      </c>
      <c r="B10">
        <v>28020</v>
      </c>
    </row>
    <row r="11" spans="1:3" x14ac:dyDescent="0.3">
      <c r="A11" s="2" t="s">
        <v>433</v>
      </c>
      <c r="B11">
        <v>27809</v>
      </c>
    </row>
    <row r="12" spans="1:3" x14ac:dyDescent="0.3">
      <c r="A12" s="2" t="s">
        <v>421</v>
      </c>
      <c r="B12">
        <v>27254</v>
      </c>
    </row>
    <row r="13" spans="1:3" x14ac:dyDescent="0.3">
      <c r="A13" s="2" t="s">
        <v>400</v>
      </c>
      <c r="B13">
        <v>27203</v>
      </c>
    </row>
    <row r="14" spans="1:3" x14ac:dyDescent="0.3">
      <c r="A14" s="2" t="s">
        <v>431</v>
      </c>
      <c r="B14">
        <v>27057</v>
      </c>
    </row>
    <row r="15" spans="1:3" x14ac:dyDescent="0.3">
      <c r="A15" s="2" t="s">
        <v>410</v>
      </c>
      <c r="B15">
        <v>26686</v>
      </c>
    </row>
    <row r="16" spans="1:3" x14ac:dyDescent="0.3">
      <c r="A16" s="2" t="s">
        <v>402</v>
      </c>
      <c r="B16">
        <v>25931</v>
      </c>
    </row>
    <row r="17" spans="1:2" x14ac:dyDescent="0.3">
      <c r="A17" s="2" t="s">
        <v>442</v>
      </c>
      <c r="B17">
        <v>25416</v>
      </c>
    </row>
    <row r="18" spans="1:2" x14ac:dyDescent="0.3">
      <c r="A18" s="2" t="s">
        <v>414</v>
      </c>
      <c r="B18">
        <v>25176</v>
      </c>
    </row>
    <row r="19" spans="1:2" x14ac:dyDescent="0.3">
      <c r="A19" s="2" t="s">
        <v>445</v>
      </c>
      <c r="B19">
        <v>24995</v>
      </c>
    </row>
    <row r="20" spans="1:2" x14ac:dyDescent="0.3">
      <c r="A20" s="2" t="s">
        <v>430</v>
      </c>
      <c r="B20">
        <v>23870</v>
      </c>
    </row>
    <row r="21" spans="1:2" x14ac:dyDescent="0.3">
      <c r="A21" s="2" t="s">
        <v>419</v>
      </c>
      <c r="B21">
        <v>23371</v>
      </c>
    </row>
    <row r="22" spans="1:2" x14ac:dyDescent="0.3">
      <c r="A22" s="2" t="s">
        <v>411</v>
      </c>
      <c r="B22">
        <v>23262</v>
      </c>
    </row>
    <row r="23" spans="1:2" x14ac:dyDescent="0.3">
      <c r="A23" s="2" t="s">
        <v>401</v>
      </c>
      <c r="B23">
        <v>23062</v>
      </c>
    </row>
    <row r="24" spans="1:2" x14ac:dyDescent="0.3">
      <c r="A24" s="2" t="s">
        <v>434</v>
      </c>
      <c r="B24">
        <v>22692</v>
      </c>
    </row>
    <row r="25" spans="1:2" x14ac:dyDescent="0.3">
      <c r="A25" s="2" t="s">
        <v>413</v>
      </c>
      <c r="B25">
        <v>22217</v>
      </c>
    </row>
    <row r="26" spans="1:2" x14ac:dyDescent="0.3">
      <c r="A26" s="2" t="s">
        <v>446</v>
      </c>
      <c r="B26">
        <v>22070</v>
      </c>
    </row>
    <row r="27" spans="1:2" x14ac:dyDescent="0.3">
      <c r="A27" s="2" t="s">
        <v>424</v>
      </c>
      <c r="B27">
        <v>21238</v>
      </c>
    </row>
    <row r="28" spans="1:2" x14ac:dyDescent="0.3">
      <c r="A28" s="2" t="s">
        <v>412</v>
      </c>
      <c r="B28">
        <v>20800</v>
      </c>
    </row>
    <row r="29" spans="1:2" x14ac:dyDescent="0.3">
      <c r="A29" s="2" t="s">
        <v>444</v>
      </c>
      <c r="B29">
        <v>20720</v>
      </c>
    </row>
    <row r="30" spans="1:2" x14ac:dyDescent="0.3">
      <c r="A30" s="2" t="s">
        <v>439</v>
      </c>
      <c r="B30">
        <v>20389</v>
      </c>
    </row>
    <row r="31" spans="1:2" x14ac:dyDescent="0.3">
      <c r="A31" s="2" t="s">
        <v>404</v>
      </c>
      <c r="B31">
        <v>19833</v>
      </c>
    </row>
    <row r="32" spans="1:2" x14ac:dyDescent="0.3">
      <c r="A32" s="2" t="s">
        <v>423</v>
      </c>
      <c r="B32">
        <v>19751</v>
      </c>
    </row>
    <row r="33" spans="1:2" x14ac:dyDescent="0.3">
      <c r="A33" s="2" t="s">
        <v>428</v>
      </c>
      <c r="B33">
        <v>19604</v>
      </c>
    </row>
    <row r="34" spans="1:2" x14ac:dyDescent="0.3">
      <c r="A34" s="2" t="s">
        <v>429</v>
      </c>
      <c r="B34">
        <v>19183</v>
      </c>
    </row>
    <row r="35" spans="1:2" x14ac:dyDescent="0.3">
      <c r="A35" s="2" t="s">
        <v>432</v>
      </c>
      <c r="B35">
        <v>18737</v>
      </c>
    </row>
    <row r="36" spans="1:2" x14ac:dyDescent="0.3">
      <c r="A36" s="2" t="s">
        <v>405</v>
      </c>
      <c r="B36">
        <v>18529</v>
      </c>
    </row>
    <row r="37" spans="1:2" x14ac:dyDescent="0.3">
      <c r="A37" s="2" t="s">
        <v>417</v>
      </c>
      <c r="B37">
        <v>18434</v>
      </c>
    </row>
    <row r="38" spans="1:2" x14ac:dyDescent="0.3">
      <c r="A38" s="2" t="s">
        <v>449</v>
      </c>
      <c r="B38">
        <v>18387</v>
      </c>
    </row>
    <row r="39" spans="1:2" x14ac:dyDescent="0.3">
      <c r="A39" s="2" t="s">
        <v>426</v>
      </c>
      <c r="B39">
        <v>18330</v>
      </c>
    </row>
    <row r="40" spans="1:2" x14ac:dyDescent="0.3">
      <c r="A40" s="2" t="s">
        <v>416</v>
      </c>
      <c r="B40">
        <v>17982</v>
      </c>
    </row>
    <row r="41" spans="1:2" x14ac:dyDescent="0.3">
      <c r="A41" s="2" t="s">
        <v>437</v>
      </c>
      <c r="B41">
        <v>17859</v>
      </c>
    </row>
    <row r="42" spans="1:2" x14ac:dyDescent="0.3">
      <c r="A42" s="2" t="s">
        <v>440</v>
      </c>
      <c r="B42">
        <v>17807</v>
      </c>
    </row>
    <row r="43" spans="1:2" x14ac:dyDescent="0.3">
      <c r="A43" s="2" t="s">
        <v>418</v>
      </c>
      <c r="B43">
        <v>17577</v>
      </c>
    </row>
    <row r="44" spans="1:2" x14ac:dyDescent="0.3">
      <c r="A44" s="2" t="s">
        <v>447</v>
      </c>
      <c r="B44">
        <v>17449</v>
      </c>
    </row>
    <row r="45" spans="1:2" x14ac:dyDescent="0.3">
      <c r="A45" s="2" t="s">
        <v>408</v>
      </c>
      <c r="B45">
        <v>17021</v>
      </c>
    </row>
    <row r="46" spans="1:2" x14ac:dyDescent="0.3">
      <c r="A46" s="2" t="s">
        <v>422</v>
      </c>
      <c r="B46">
        <v>16685</v>
      </c>
    </row>
    <row r="47" spans="1:2" x14ac:dyDescent="0.3">
      <c r="A47" s="2" t="s">
        <v>448</v>
      </c>
      <c r="B47">
        <v>16129</v>
      </c>
    </row>
    <row r="48" spans="1:2" x14ac:dyDescent="0.3">
      <c r="A48" s="2" t="s">
        <v>427</v>
      </c>
      <c r="B48">
        <v>15842</v>
      </c>
    </row>
    <row r="49" spans="1:2" x14ac:dyDescent="0.3">
      <c r="A49" s="2" t="s">
        <v>443</v>
      </c>
      <c r="B49">
        <v>15627</v>
      </c>
    </row>
    <row r="50" spans="1:2" x14ac:dyDescent="0.3">
      <c r="A50" s="2" t="s">
        <v>415</v>
      </c>
      <c r="B50">
        <v>15432</v>
      </c>
    </row>
    <row r="51" spans="1:2" x14ac:dyDescent="0.3">
      <c r="A51" s="2" t="s">
        <v>409</v>
      </c>
      <c r="B51">
        <v>14100</v>
      </c>
    </row>
    <row r="52" spans="1:2" x14ac:dyDescent="0.3">
      <c r="A52" s="2" t="s">
        <v>406</v>
      </c>
      <c r="B52">
        <v>13885</v>
      </c>
    </row>
    <row r="53" spans="1:2" x14ac:dyDescent="0.3">
      <c r="A53" s="2" t="s">
        <v>436</v>
      </c>
      <c r="B53">
        <v>13642</v>
      </c>
    </row>
  </sheetData>
  <mergeCells count="1">
    <mergeCell ref="A1:C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7392-07AD-4475-896A-70B5194AE884}">
  <dimension ref="A1:D54"/>
  <sheetViews>
    <sheetView topLeftCell="C17" zoomScaleNormal="100" workbookViewId="0">
      <selection activeCell="C24" sqref="C24"/>
    </sheetView>
  </sheetViews>
  <sheetFormatPr defaultRowHeight="14.4" x14ac:dyDescent="0.3"/>
  <cols>
    <col min="1" max="1" width="21.5546875" bestFit="1" customWidth="1"/>
    <col min="2" max="2" width="12.33203125" bestFit="1" customWidth="1"/>
    <col min="3" max="3" width="18.109375" bestFit="1" customWidth="1"/>
  </cols>
  <sheetData>
    <row r="1" spans="1:4" ht="15.6" x14ac:dyDescent="0.3">
      <c r="A1" s="70" t="s">
        <v>452</v>
      </c>
      <c r="B1" s="70"/>
      <c r="C1" s="70"/>
      <c r="D1" s="70"/>
    </row>
    <row r="4" spans="1:4" x14ac:dyDescent="0.3">
      <c r="A4" s="1" t="s">
        <v>0</v>
      </c>
      <c r="B4" t="s">
        <v>451</v>
      </c>
    </row>
    <row r="5" spans="1:4" x14ac:dyDescent="0.3">
      <c r="A5" s="2" t="s">
        <v>400</v>
      </c>
      <c r="B5">
        <v>27203</v>
      </c>
    </row>
    <row r="6" spans="1:4" x14ac:dyDescent="0.3">
      <c r="A6" s="2" t="s">
        <v>401</v>
      </c>
      <c r="B6">
        <v>23062</v>
      </c>
    </row>
    <row r="7" spans="1:4" x14ac:dyDescent="0.3">
      <c r="A7" s="2" t="s">
        <v>402</v>
      </c>
      <c r="B7">
        <v>25931</v>
      </c>
    </row>
    <row r="8" spans="1:4" x14ac:dyDescent="0.3">
      <c r="A8" s="2" t="s">
        <v>403</v>
      </c>
      <c r="B8">
        <v>28622</v>
      </c>
    </row>
    <row r="9" spans="1:4" x14ac:dyDescent="0.3">
      <c r="A9" s="2" t="s">
        <v>404</v>
      </c>
      <c r="B9">
        <v>19833</v>
      </c>
    </row>
    <row r="10" spans="1:4" x14ac:dyDescent="0.3">
      <c r="A10" s="2" t="s">
        <v>405</v>
      </c>
      <c r="B10">
        <v>18529</v>
      </c>
    </row>
    <row r="11" spans="1:4" x14ac:dyDescent="0.3">
      <c r="A11" s="2" t="s">
        <v>406</v>
      </c>
      <c r="B11">
        <v>13885</v>
      </c>
    </row>
    <row r="12" spans="1:4" x14ac:dyDescent="0.3">
      <c r="A12" s="2" t="s">
        <v>407</v>
      </c>
      <c r="B12">
        <v>32218</v>
      </c>
    </row>
    <row r="13" spans="1:4" x14ac:dyDescent="0.3">
      <c r="A13" s="2" t="s">
        <v>408</v>
      </c>
      <c r="B13">
        <v>17021</v>
      </c>
    </row>
    <row r="14" spans="1:4" x14ac:dyDescent="0.3">
      <c r="A14" s="2" t="s">
        <v>409</v>
      </c>
      <c r="B14">
        <v>14100</v>
      </c>
    </row>
    <row r="15" spans="1:4" x14ac:dyDescent="0.3">
      <c r="A15" s="2" t="s">
        <v>410</v>
      </c>
      <c r="B15">
        <v>26686</v>
      </c>
    </row>
    <row r="16" spans="1:4" x14ac:dyDescent="0.3">
      <c r="A16" s="2" t="s">
        <v>411</v>
      </c>
      <c r="B16">
        <v>23262</v>
      </c>
    </row>
    <row r="17" spans="1:2" x14ac:dyDescent="0.3">
      <c r="A17" s="2" t="s">
        <v>412</v>
      </c>
      <c r="B17">
        <v>20800</v>
      </c>
    </row>
    <row r="18" spans="1:2" x14ac:dyDescent="0.3">
      <c r="A18" s="2" t="s">
        <v>413</v>
      </c>
      <c r="B18">
        <v>22217</v>
      </c>
    </row>
    <row r="19" spans="1:2" x14ac:dyDescent="0.3">
      <c r="A19" s="2" t="s">
        <v>414</v>
      </c>
      <c r="B19">
        <v>25176</v>
      </c>
    </row>
    <row r="20" spans="1:2" x14ac:dyDescent="0.3">
      <c r="A20" s="2" t="s">
        <v>415</v>
      </c>
      <c r="B20">
        <v>15432</v>
      </c>
    </row>
    <row r="21" spans="1:2" x14ac:dyDescent="0.3">
      <c r="A21" s="2" t="s">
        <v>416</v>
      </c>
      <c r="B21">
        <v>17982</v>
      </c>
    </row>
    <row r="22" spans="1:2" x14ac:dyDescent="0.3">
      <c r="A22" s="2" t="s">
        <v>417</v>
      </c>
      <c r="B22">
        <v>18434</v>
      </c>
    </row>
    <row r="23" spans="1:2" x14ac:dyDescent="0.3">
      <c r="A23" s="2" t="s">
        <v>418</v>
      </c>
      <c r="B23">
        <v>17577</v>
      </c>
    </row>
    <row r="24" spans="1:2" x14ac:dyDescent="0.3">
      <c r="A24" s="2" t="s">
        <v>419</v>
      </c>
      <c r="B24">
        <v>23371</v>
      </c>
    </row>
    <row r="25" spans="1:2" x14ac:dyDescent="0.3">
      <c r="A25" s="2" t="s">
        <v>420</v>
      </c>
      <c r="B25">
        <v>30891</v>
      </c>
    </row>
    <row r="26" spans="1:2" x14ac:dyDescent="0.3">
      <c r="A26" s="2" t="s">
        <v>421</v>
      </c>
      <c r="B26">
        <v>27254</v>
      </c>
    </row>
    <row r="27" spans="1:2" x14ac:dyDescent="0.3">
      <c r="A27" s="2" t="s">
        <v>422</v>
      </c>
      <c r="B27">
        <v>16685</v>
      </c>
    </row>
    <row r="28" spans="1:2" x14ac:dyDescent="0.3">
      <c r="A28" s="2" t="s">
        <v>423</v>
      </c>
      <c r="B28">
        <v>19751</v>
      </c>
    </row>
    <row r="29" spans="1:2" x14ac:dyDescent="0.3">
      <c r="A29" s="2" t="s">
        <v>424</v>
      </c>
      <c r="B29">
        <v>21238</v>
      </c>
    </row>
    <row r="30" spans="1:2" x14ac:dyDescent="0.3">
      <c r="A30" s="2" t="s">
        <v>425</v>
      </c>
      <c r="B30">
        <v>28625</v>
      </c>
    </row>
    <row r="31" spans="1:2" x14ac:dyDescent="0.3">
      <c r="A31" s="2" t="s">
        <v>426</v>
      </c>
      <c r="B31">
        <v>18330</v>
      </c>
    </row>
    <row r="32" spans="1:2" x14ac:dyDescent="0.3">
      <c r="A32" s="2" t="s">
        <v>427</v>
      </c>
      <c r="B32">
        <v>15842</v>
      </c>
    </row>
    <row r="33" spans="1:2" x14ac:dyDescent="0.3">
      <c r="A33" s="2" t="s">
        <v>428</v>
      </c>
      <c r="B33">
        <v>19604</v>
      </c>
    </row>
    <row r="34" spans="1:2" x14ac:dyDescent="0.3">
      <c r="A34" s="2" t="s">
        <v>429</v>
      </c>
      <c r="B34">
        <v>19183</v>
      </c>
    </row>
    <row r="35" spans="1:2" x14ac:dyDescent="0.3">
      <c r="A35" s="2" t="s">
        <v>430</v>
      </c>
      <c r="B35">
        <v>23870</v>
      </c>
    </row>
    <row r="36" spans="1:2" x14ac:dyDescent="0.3">
      <c r="A36" s="2" t="s">
        <v>431</v>
      </c>
      <c r="B36">
        <v>27057</v>
      </c>
    </row>
    <row r="37" spans="1:2" x14ac:dyDescent="0.3">
      <c r="A37" s="2" t="s">
        <v>432</v>
      </c>
      <c r="B37">
        <v>18737</v>
      </c>
    </row>
    <row r="38" spans="1:2" x14ac:dyDescent="0.3">
      <c r="A38" s="2" t="s">
        <v>433</v>
      </c>
      <c r="B38">
        <v>27809</v>
      </c>
    </row>
    <row r="39" spans="1:2" x14ac:dyDescent="0.3">
      <c r="A39" s="2" t="s">
        <v>434</v>
      </c>
      <c r="B39">
        <v>22692</v>
      </c>
    </row>
    <row r="40" spans="1:2" x14ac:dyDescent="0.3">
      <c r="A40" s="2" t="s">
        <v>435</v>
      </c>
      <c r="B40">
        <v>28533</v>
      </c>
    </row>
    <row r="41" spans="1:2" x14ac:dyDescent="0.3">
      <c r="A41" s="2" t="s">
        <v>436</v>
      </c>
      <c r="B41">
        <v>13642</v>
      </c>
    </row>
    <row r="42" spans="1:2" x14ac:dyDescent="0.3">
      <c r="A42" s="2" t="s">
        <v>437</v>
      </c>
      <c r="B42">
        <v>17859</v>
      </c>
    </row>
    <row r="43" spans="1:2" x14ac:dyDescent="0.3">
      <c r="A43" s="2" t="s">
        <v>438</v>
      </c>
      <c r="B43">
        <v>30446</v>
      </c>
    </row>
    <row r="44" spans="1:2" x14ac:dyDescent="0.3">
      <c r="A44" s="2" t="s">
        <v>439</v>
      </c>
      <c r="B44">
        <v>20389</v>
      </c>
    </row>
    <row r="45" spans="1:2" x14ac:dyDescent="0.3">
      <c r="A45" s="2" t="s">
        <v>440</v>
      </c>
      <c r="B45">
        <v>17807</v>
      </c>
    </row>
    <row r="46" spans="1:2" x14ac:dyDescent="0.3">
      <c r="A46" s="2" t="s">
        <v>441</v>
      </c>
      <c r="B46">
        <v>28020</v>
      </c>
    </row>
    <row r="47" spans="1:2" x14ac:dyDescent="0.3">
      <c r="A47" s="2" t="s">
        <v>442</v>
      </c>
      <c r="B47">
        <v>25416</v>
      </c>
    </row>
    <row r="48" spans="1:2" x14ac:dyDescent="0.3">
      <c r="A48" s="2" t="s">
        <v>443</v>
      </c>
      <c r="B48">
        <v>15627</v>
      </c>
    </row>
    <row r="49" spans="1:2" x14ac:dyDescent="0.3">
      <c r="A49" s="2" t="s">
        <v>444</v>
      </c>
      <c r="B49">
        <v>20720</v>
      </c>
    </row>
    <row r="50" spans="1:2" x14ac:dyDescent="0.3">
      <c r="A50" s="2" t="s">
        <v>445</v>
      </c>
      <c r="B50">
        <v>24995</v>
      </c>
    </row>
    <row r="51" spans="1:2" x14ac:dyDescent="0.3">
      <c r="A51" s="2" t="s">
        <v>446</v>
      </c>
      <c r="B51">
        <v>22070</v>
      </c>
    </row>
    <row r="52" spans="1:2" x14ac:dyDescent="0.3">
      <c r="A52" s="2" t="s">
        <v>447</v>
      </c>
      <c r="B52">
        <v>17449</v>
      </c>
    </row>
    <row r="53" spans="1:2" x14ac:dyDescent="0.3">
      <c r="A53" s="2" t="s">
        <v>448</v>
      </c>
      <c r="B53">
        <v>16129</v>
      </c>
    </row>
    <row r="54" spans="1:2" x14ac:dyDescent="0.3">
      <c r="A54" s="2" t="s">
        <v>449</v>
      </c>
      <c r="B54">
        <v>18387</v>
      </c>
    </row>
  </sheetData>
  <mergeCells count="1">
    <mergeCell ref="A1:D1"/>
  </mergeCell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5BEB-B77A-4F1C-84A2-23EDDC831C8E}">
  <dimension ref="A1:E53"/>
  <sheetViews>
    <sheetView topLeftCell="A34" workbookViewId="0">
      <selection activeCell="H46" sqref="H46"/>
    </sheetView>
  </sheetViews>
  <sheetFormatPr defaultRowHeight="14.4" x14ac:dyDescent="0.3"/>
  <cols>
    <col min="1" max="1" width="21.5546875" bestFit="1" customWidth="1"/>
    <col min="2" max="2" width="12.21875" bestFit="1" customWidth="1"/>
    <col min="3" max="3" width="13.5546875" customWidth="1"/>
  </cols>
  <sheetData>
    <row r="1" spans="1:5" ht="15.6" x14ac:dyDescent="0.3">
      <c r="A1" s="70" t="s">
        <v>454</v>
      </c>
      <c r="B1" s="70"/>
      <c r="C1" s="70"/>
      <c r="D1" s="70"/>
      <c r="E1" s="70"/>
    </row>
    <row r="3" spans="1:5" x14ac:dyDescent="0.3">
      <c r="A3" s="9" t="s">
        <v>455</v>
      </c>
      <c r="B3" s="9" t="s">
        <v>453</v>
      </c>
      <c r="C3" s="9" t="s">
        <v>451</v>
      </c>
    </row>
    <row r="4" spans="1:5" x14ac:dyDescent="0.3">
      <c r="A4" s="17" t="s">
        <v>400</v>
      </c>
      <c r="B4" s="18">
        <v>138117</v>
      </c>
      <c r="C4" s="18">
        <v>27203</v>
      </c>
    </row>
    <row r="5" spans="1:5" x14ac:dyDescent="0.3">
      <c r="A5" s="17" t="s">
        <v>401</v>
      </c>
      <c r="B5" s="18">
        <v>150962</v>
      </c>
      <c r="C5" s="18">
        <v>23062</v>
      </c>
    </row>
    <row r="6" spans="1:5" x14ac:dyDescent="0.3">
      <c r="A6" s="17" t="s">
        <v>402</v>
      </c>
      <c r="B6" s="18">
        <v>98040</v>
      </c>
      <c r="C6" s="18">
        <v>25931</v>
      </c>
    </row>
    <row r="7" spans="1:5" x14ac:dyDescent="0.3">
      <c r="A7" s="17" t="s">
        <v>403</v>
      </c>
      <c r="B7" s="18">
        <v>164565</v>
      </c>
      <c r="C7" s="18">
        <v>28622</v>
      </c>
    </row>
    <row r="8" spans="1:5" x14ac:dyDescent="0.3">
      <c r="A8" s="17" t="s">
        <v>404</v>
      </c>
      <c r="B8" s="18">
        <v>156343</v>
      </c>
      <c r="C8" s="18">
        <v>19833</v>
      </c>
    </row>
    <row r="9" spans="1:5" x14ac:dyDescent="0.3">
      <c r="A9" s="17" t="s">
        <v>405</v>
      </c>
      <c r="B9" s="18">
        <v>111798</v>
      </c>
      <c r="C9" s="18">
        <v>18529</v>
      </c>
    </row>
    <row r="10" spans="1:5" x14ac:dyDescent="0.3">
      <c r="A10" s="17" t="s">
        <v>406</v>
      </c>
      <c r="B10" s="18">
        <v>96330</v>
      </c>
      <c r="C10" s="18">
        <v>13885</v>
      </c>
    </row>
    <row r="11" spans="1:5" x14ac:dyDescent="0.3">
      <c r="A11" s="17" t="s">
        <v>407</v>
      </c>
      <c r="B11" s="18">
        <v>165690</v>
      </c>
      <c r="C11" s="18">
        <v>32218</v>
      </c>
    </row>
    <row r="12" spans="1:5" x14ac:dyDescent="0.3">
      <c r="A12" s="17" t="s">
        <v>408</v>
      </c>
      <c r="B12" s="18">
        <v>149979</v>
      </c>
      <c r="C12" s="18">
        <v>17021</v>
      </c>
    </row>
    <row r="13" spans="1:5" x14ac:dyDescent="0.3">
      <c r="A13" s="17" t="s">
        <v>409</v>
      </c>
      <c r="B13" s="18">
        <v>137738</v>
      </c>
      <c r="C13" s="18">
        <v>14100</v>
      </c>
    </row>
    <row r="14" spans="1:5" x14ac:dyDescent="0.3">
      <c r="A14" s="17" t="s">
        <v>410</v>
      </c>
      <c r="B14" s="18">
        <v>127141</v>
      </c>
      <c r="C14" s="18">
        <v>26686</v>
      </c>
    </row>
    <row r="15" spans="1:5" x14ac:dyDescent="0.3">
      <c r="A15" s="17" t="s">
        <v>411</v>
      </c>
      <c r="B15" s="18">
        <v>131436</v>
      </c>
      <c r="C15" s="18">
        <v>23262</v>
      </c>
    </row>
    <row r="16" spans="1:5" x14ac:dyDescent="0.3">
      <c r="A16" s="17" t="s">
        <v>412</v>
      </c>
      <c r="B16" s="18">
        <v>148731</v>
      </c>
      <c r="C16" s="18">
        <v>20800</v>
      </c>
    </row>
    <row r="17" spans="1:3" x14ac:dyDescent="0.3">
      <c r="A17" s="17" t="s">
        <v>413</v>
      </c>
      <c r="B17" s="18">
        <v>138157</v>
      </c>
      <c r="C17" s="18">
        <v>22217</v>
      </c>
    </row>
    <row r="18" spans="1:3" x14ac:dyDescent="0.3">
      <c r="A18" s="17" t="s">
        <v>414</v>
      </c>
      <c r="B18" s="18">
        <v>145141</v>
      </c>
      <c r="C18" s="18">
        <v>25176</v>
      </c>
    </row>
    <row r="19" spans="1:3" x14ac:dyDescent="0.3">
      <c r="A19" s="17" t="s">
        <v>415</v>
      </c>
      <c r="B19" s="18">
        <v>157040</v>
      </c>
      <c r="C19" s="18">
        <v>15432</v>
      </c>
    </row>
    <row r="20" spans="1:3" x14ac:dyDescent="0.3">
      <c r="A20" s="17" t="s">
        <v>416</v>
      </c>
      <c r="B20" s="18">
        <v>144544</v>
      </c>
      <c r="C20" s="18">
        <v>17982</v>
      </c>
    </row>
    <row r="21" spans="1:3" x14ac:dyDescent="0.3">
      <c r="A21" s="17" t="s">
        <v>417</v>
      </c>
      <c r="B21" s="18">
        <v>91299</v>
      </c>
      <c r="C21" s="18">
        <v>18434</v>
      </c>
    </row>
    <row r="22" spans="1:3" x14ac:dyDescent="0.3">
      <c r="A22" s="17" t="s">
        <v>418</v>
      </c>
      <c r="B22" s="18">
        <v>128380</v>
      </c>
      <c r="C22" s="18">
        <v>17577</v>
      </c>
    </row>
    <row r="23" spans="1:3" x14ac:dyDescent="0.3">
      <c r="A23" s="17" t="s">
        <v>419</v>
      </c>
      <c r="B23" s="18">
        <v>147981</v>
      </c>
      <c r="C23" s="18">
        <v>23371</v>
      </c>
    </row>
    <row r="24" spans="1:3" x14ac:dyDescent="0.3">
      <c r="A24" s="17" t="s">
        <v>420</v>
      </c>
      <c r="B24" s="18">
        <v>121620</v>
      </c>
      <c r="C24" s="18">
        <v>30891</v>
      </c>
    </row>
    <row r="25" spans="1:3" x14ac:dyDescent="0.3">
      <c r="A25" s="17" t="s">
        <v>421</v>
      </c>
      <c r="B25" s="18">
        <v>181563</v>
      </c>
      <c r="C25" s="18">
        <v>27254</v>
      </c>
    </row>
    <row r="26" spans="1:3" x14ac:dyDescent="0.3">
      <c r="A26" s="17" t="s">
        <v>422</v>
      </c>
      <c r="B26" s="18">
        <v>153596</v>
      </c>
      <c r="C26" s="18">
        <v>16685</v>
      </c>
    </row>
    <row r="27" spans="1:3" x14ac:dyDescent="0.3">
      <c r="A27" s="17" t="s">
        <v>423</v>
      </c>
      <c r="B27" s="18">
        <v>167636</v>
      </c>
      <c r="C27" s="18">
        <v>19751</v>
      </c>
    </row>
    <row r="28" spans="1:3" x14ac:dyDescent="0.3">
      <c r="A28" s="17" t="s">
        <v>424</v>
      </c>
      <c r="B28" s="18">
        <v>123864</v>
      </c>
      <c r="C28" s="18">
        <v>21238</v>
      </c>
    </row>
    <row r="29" spans="1:3" x14ac:dyDescent="0.3">
      <c r="A29" s="17" t="s">
        <v>425</v>
      </c>
      <c r="B29" s="18">
        <v>196685</v>
      </c>
      <c r="C29" s="18">
        <v>28625</v>
      </c>
    </row>
    <row r="30" spans="1:3" x14ac:dyDescent="0.3">
      <c r="A30" s="17" t="s">
        <v>426</v>
      </c>
      <c r="B30" s="18">
        <v>157140</v>
      </c>
      <c r="C30" s="18">
        <v>18330</v>
      </c>
    </row>
    <row r="31" spans="1:3" x14ac:dyDescent="0.3">
      <c r="A31" s="17" t="s">
        <v>427</v>
      </c>
      <c r="B31" s="18">
        <v>125132</v>
      </c>
      <c r="C31" s="18">
        <v>15842</v>
      </c>
    </row>
    <row r="32" spans="1:3" x14ac:dyDescent="0.3">
      <c r="A32" s="17" t="s">
        <v>428</v>
      </c>
      <c r="B32" s="18">
        <v>104342</v>
      </c>
      <c r="C32" s="18">
        <v>19604</v>
      </c>
    </row>
    <row r="33" spans="1:3" x14ac:dyDescent="0.3">
      <c r="A33" s="17" t="s">
        <v>429</v>
      </c>
      <c r="B33" s="18">
        <v>142650</v>
      </c>
      <c r="C33" s="18">
        <v>19183</v>
      </c>
    </row>
    <row r="34" spans="1:3" x14ac:dyDescent="0.3">
      <c r="A34" s="17" t="s">
        <v>430</v>
      </c>
      <c r="B34" s="18">
        <v>158939</v>
      </c>
      <c r="C34" s="18">
        <v>23870</v>
      </c>
    </row>
    <row r="35" spans="1:3" x14ac:dyDescent="0.3">
      <c r="A35" s="17" t="s">
        <v>431</v>
      </c>
      <c r="B35" s="18">
        <v>163934</v>
      </c>
      <c r="C35" s="18">
        <v>27057</v>
      </c>
    </row>
    <row r="36" spans="1:3" x14ac:dyDescent="0.3">
      <c r="A36" s="17" t="s">
        <v>432</v>
      </c>
      <c r="B36" s="18">
        <v>92334</v>
      </c>
      <c r="C36" s="18">
        <v>18737</v>
      </c>
    </row>
    <row r="37" spans="1:3" x14ac:dyDescent="0.3">
      <c r="A37" s="17" t="s">
        <v>433</v>
      </c>
      <c r="B37" s="18">
        <v>143317</v>
      </c>
      <c r="C37" s="18">
        <v>27809</v>
      </c>
    </row>
    <row r="38" spans="1:3" x14ac:dyDescent="0.3">
      <c r="A38" s="17" t="s">
        <v>434</v>
      </c>
      <c r="B38" s="18">
        <v>148558</v>
      </c>
      <c r="C38" s="18">
        <v>22692</v>
      </c>
    </row>
    <row r="39" spans="1:3" x14ac:dyDescent="0.3">
      <c r="A39" s="17" t="s">
        <v>435</v>
      </c>
      <c r="B39" s="18">
        <v>71040</v>
      </c>
      <c r="C39" s="18">
        <v>28533</v>
      </c>
    </row>
    <row r="40" spans="1:3" x14ac:dyDescent="0.3">
      <c r="A40" s="17" t="s">
        <v>436</v>
      </c>
      <c r="B40" s="18">
        <v>125547</v>
      </c>
      <c r="C40" s="18">
        <v>13642</v>
      </c>
    </row>
    <row r="41" spans="1:3" x14ac:dyDescent="0.3">
      <c r="A41" s="17" t="s">
        <v>437</v>
      </c>
      <c r="B41" s="18">
        <v>123142</v>
      </c>
      <c r="C41" s="18">
        <v>17859</v>
      </c>
    </row>
    <row r="42" spans="1:3" x14ac:dyDescent="0.3">
      <c r="A42" s="17" t="s">
        <v>438</v>
      </c>
      <c r="B42" s="18">
        <v>122105</v>
      </c>
      <c r="C42" s="18">
        <v>30446</v>
      </c>
    </row>
    <row r="43" spans="1:3" x14ac:dyDescent="0.3">
      <c r="A43" s="17" t="s">
        <v>439</v>
      </c>
      <c r="B43" s="18">
        <v>117742</v>
      </c>
      <c r="C43" s="18">
        <v>20389</v>
      </c>
    </row>
    <row r="44" spans="1:3" x14ac:dyDescent="0.3">
      <c r="A44" s="17" t="s">
        <v>440</v>
      </c>
      <c r="B44" s="18">
        <v>120558</v>
      </c>
      <c r="C44" s="18">
        <v>17807</v>
      </c>
    </row>
    <row r="45" spans="1:3" x14ac:dyDescent="0.3">
      <c r="A45" s="17" t="s">
        <v>441</v>
      </c>
      <c r="B45" s="18">
        <v>195013</v>
      </c>
      <c r="C45" s="18">
        <v>28020</v>
      </c>
    </row>
    <row r="46" spans="1:3" x14ac:dyDescent="0.3">
      <c r="A46" s="17" t="s">
        <v>442</v>
      </c>
      <c r="B46" s="18">
        <v>119089</v>
      </c>
      <c r="C46" s="18">
        <v>25416</v>
      </c>
    </row>
    <row r="47" spans="1:3" x14ac:dyDescent="0.3">
      <c r="A47" s="17" t="s">
        <v>443</v>
      </c>
      <c r="B47" s="18">
        <v>160200</v>
      </c>
      <c r="C47" s="18">
        <v>15627</v>
      </c>
    </row>
    <row r="48" spans="1:3" x14ac:dyDescent="0.3">
      <c r="A48" s="17" t="s">
        <v>444</v>
      </c>
      <c r="B48" s="18">
        <v>156785</v>
      </c>
      <c r="C48" s="18">
        <v>20720</v>
      </c>
    </row>
    <row r="49" spans="1:3" x14ac:dyDescent="0.3">
      <c r="A49" s="17" t="s">
        <v>445</v>
      </c>
      <c r="B49" s="18">
        <v>143397</v>
      </c>
      <c r="C49" s="18">
        <v>24995</v>
      </c>
    </row>
    <row r="50" spans="1:3" x14ac:dyDescent="0.3">
      <c r="A50" s="17" t="s">
        <v>446</v>
      </c>
      <c r="B50" s="18">
        <v>143322</v>
      </c>
      <c r="C50" s="18">
        <v>22070</v>
      </c>
    </row>
    <row r="51" spans="1:3" x14ac:dyDescent="0.3">
      <c r="A51" s="17" t="s">
        <v>447</v>
      </c>
      <c r="B51" s="18">
        <v>130305</v>
      </c>
      <c r="C51" s="18">
        <v>17449</v>
      </c>
    </row>
    <row r="52" spans="1:3" x14ac:dyDescent="0.3">
      <c r="A52" s="17" t="s">
        <v>448</v>
      </c>
      <c r="B52" s="18">
        <v>134696</v>
      </c>
      <c r="C52" s="18">
        <v>16129</v>
      </c>
    </row>
    <row r="53" spans="1:3" x14ac:dyDescent="0.3">
      <c r="A53" s="17" t="s">
        <v>449</v>
      </c>
      <c r="B53" s="18">
        <v>153197</v>
      </c>
      <c r="C53" s="18">
        <v>18387</v>
      </c>
    </row>
  </sheetData>
  <mergeCells count="1">
    <mergeCell ref="A1:E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C8EB0-0DB7-4FA8-B16E-45F135A7988A}">
  <dimension ref="A1:C53"/>
  <sheetViews>
    <sheetView workbookViewId="0">
      <selection activeCell="H14" sqref="H14"/>
    </sheetView>
  </sheetViews>
  <sheetFormatPr defaultRowHeight="14.4" x14ac:dyDescent="0.3"/>
  <cols>
    <col min="1" max="1" width="21.5546875" bestFit="1" customWidth="1"/>
    <col min="2" max="2" width="18.109375" bestFit="1" customWidth="1"/>
    <col min="3" max="3" width="16.21875" bestFit="1" customWidth="1"/>
  </cols>
  <sheetData>
    <row r="1" spans="1:3" x14ac:dyDescent="0.3">
      <c r="A1" s="71" t="s">
        <v>464</v>
      </c>
      <c r="B1" s="71"/>
    </row>
    <row r="3" spans="1:3" x14ac:dyDescent="0.3">
      <c r="A3" s="1" t="s">
        <v>0</v>
      </c>
      <c r="B3" t="s">
        <v>370</v>
      </c>
      <c r="C3" t="s">
        <v>371</v>
      </c>
    </row>
    <row r="4" spans="1:3" x14ac:dyDescent="0.3">
      <c r="A4" s="2" t="s">
        <v>400</v>
      </c>
      <c r="B4">
        <v>27203</v>
      </c>
      <c r="C4">
        <v>138117</v>
      </c>
    </row>
    <row r="5" spans="1:3" x14ac:dyDescent="0.3">
      <c r="A5" s="2" t="s">
        <v>401</v>
      </c>
      <c r="B5">
        <v>23062</v>
      </c>
      <c r="C5">
        <v>150962</v>
      </c>
    </row>
    <row r="6" spans="1:3" x14ac:dyDescent="0.3">
      <c r="A6" s="2" t="s">
        <v>402</v>
      </c>
      <c r="B6">
        <v>25931</v>
      </c>
      <c r="C6">
        <v>98040</v>
      </c>
    </row>
    <row r="7" spans="1:3" x14ac:dyDescent="0.3">
      <c r="A7" s="2" t="s">
        <v>403</v>
      </c>
      <c r="B7">
        <v>28622</v>
      </c>
      <c r="C7">
        <v>164565</v>
      </c>
    </row>
    <row r="8" spans="1:3" x14ac:dyDescent="0.3">
      <c r="A8" s="2" t="s">
        <v>404</v>
      </c>
      <c r="B8">
        <v>19833</v>
      </c>
      <c r="C8">
        <v>156343</v>
      </c>
    </row>
    <row r="9" spans="1:3" x14ac:dyDescent="0.3">
      <c r="A9" s="2" t="s">
        <v>405</v>
      </c>
      <c r="B9">
        <v>18529</v>
      </c>
      <c r="C9">
        <v>111798</v>
      </c>
    </row>
    <row r="10" spans="1:3" x14ac:dyDescent="0.3">
      <c r="A10" s="2" t="s">
        <v>406</v>
      </c>
      <c r="B10">
        <v>13885</v>
      </c>
      <c r="C10">
        <v>96330</v>
      </c>
    </row>
    <row r="11" spans="1:3" x14ac:dyDescent="0.3">
      <c r="A11" s="2" t="s">
        <v>407</v>
      </c>
      <c r="B11">
        <v>32218</v>
      </c>
      <c r="C11">
        <v>165690</v>
      </c>
    </row>
    <row r="12" spans="1:3" x14ac:dyDescent="0.3">
      <c r="A12" s="2" t="s">
        <v>408</v>
      </c>
      <c r="B12">
        <v>17021</v>
      </c>
      <c r="C12">
        <v>149979</v>
      </c>
    </row>
    <row r="13" spans="1:3" x14ac:dyDescent="0.3">
      <c r="A13" s="2" t="s">
        <v>409</v>
      </c>
      <c r="B13">
        <v>14100</v>
      </c>
      <c r="C13">
        <v>137738</v>
      </c>
    </row>
    <row r="14" spans="1:3" x14ac:dyDescent="0.3">
      <c r="A14" s="2" t="s">
        <v>410</v>
      </c>
      <c r="B14">
        <v>26686</v>
      </c>
      <c r="C14">
        <v>127141</v>
      </c>
    </row>
    <row r="15" spans="1:3" x14ac:dyDescent="0.3">
      <c r="A15" s="2" t="s">
        <v>411</v>
      </c>
      <c r="B15">
        <v>23262</v>
      </c>
      <c r="C15">
        <v>131436</v>
      </c>
    </row>
    <row r="16" spans="1:3" x14ac:dyDescent="0.3">
      <c r="A16" s="2" t="s">
        <v>412</v>
      </c>
      <c r="B16">
        <v>20800</v>
      </c>
      <c r="C16">
        <v>148731</v>
      </c>
    </row>
    <row r="17" spans="1:3" x14ac:dyDescent="0.3">
      <c r="A17" s="2" t="s">
        <v>413</v>
      </c>
      <c r="B17">
        <v>22217</v>
      </c>
      <c r="C17">
        <v>138157</v>
      </c>
    </row>
    <row r="18" spans="1:3" x14ac:dyDescent="0.3">
      <c r="A18" s="2" t="s">
        <v>414</v>
      </c>
      <c r="B18">
        <v>25176</v>
      </c>
      <c r="C18">
        <v>145141</v>
      </c>
    </row>
    <row r="19" spans="1:3" x14ac:dyDescent="0.3">
      <c r="A19" s="2" t="s">
        <v>415</v>
      </c>
      <c r="B19">
        <v>15432</v>
      </c>
      <c r="C19">
        <v>157040</v>
      </c>
    </row>
    <row r="20" spans="1:3" x14ac:dyDescent="0.3">
      <c r="A20" s="2" t="s">
        <v>416</v>
      </c>
      <c r="B20">
        <v>17982</v>
      </c>
      <c r="C20">
        <v>144544</v>
      </c>
    </row>
    <row r="21" spans="1:3" x14ac:dyDescent="0.3">
      <c r="A21" s="2" t="s">
        <v>417</v>
      </c>
      <c r="B21">
        <v>18434</v>
      </c>
      <c r="C21">
        <v>91299</v>
      </c>
    </row>
    <row r="22" spans="1:3" x14ac:dyDescent="0.3">
      <c r="A22" s="2" t="s">
        <v>418</v>
      </c>
      <c r="B22">
        <v>17577</v>
      </c>
      <c r="C22">
        <v>128380</v>
      </c>
    </row>
    <row r="23" spans="1:3" x14ac:dyDescent="0.3">
      <c r="A23" s="2" t="s">
        <v>419</v>
      </c>
      <c r="B23">
        <v>23371</v>
      </c>
      <c r="C23">
        <v>147981</v>
      </c>
    </row>
    <row r="24" spans="1:3" x14ac:dyDescent="0.3">
      <c r="A24" s="2" t="s">
        <v>420</v>
      </c>
      <c r="B24">
        <v>30891</v>
      </c>
      <c r="C24">
        <v>121620</v>
      </c>
    </row>
    <row r="25" spans="1:3" x14ac:dyDescent="0.3">
      <c r="A25" s="2" t="s">
        <v>421</v>
      </c>
      <c r="B25">
        <v>27254</v>
      </c>
      <c r="C25">
        <v>181563</v>
      </c>
    </row>
    <row r="26" spans="1:3" x14ac:dyDescent="0.3">
      <c r="A26" s="2" t="s">
        <v>422</v>
      </c>
      <c r="B26">
        <v>16685</v>
      </c>
      <c r="C26">
        <v>153596</v>
      </c>
    </row>
    <row r="27" spans="1:3" x14ac:dyDescent="0.3">
      <c r="A27" s="2" t="s">
        <v>423</v>
      </c>
      <c r="B27">
        <v>19751</v>
      </c>
      <c r="C27">
        <v>167636</v>
      </c>
    </row>
    <row r="28" spans="1:3" x14ac:dyDescent="0.3">
      <c r="A28" s="2" t="s">
        <v>424</v>
      </c>
      <c r="B28">
        <v>21238</v>
      </c>
      <c r="C28">
        <v>123864</v>
      </c>
    </row>
    <row r="29" spans="1:3" x14ac:dyDescent="0.3">
      <c r="A29" s="2" t="s">
        <v>425</v>
      </c>
      <c r="B29">
        <v>28625</v>
      </c>
      <c r="C29">
        <v>196685</v>
      </c>
    </row>
    <row r="30" spans="1:3" x14ac:dyDescent="0.3">
      <c r="A30" s="2" t="s">
        <v>426</v>
      </c>
      <c r="B30">
        <v>18330</v>
      </c>
      <c r="C30">
        <v>157140</v>
      </c>
    </row>
    <row r="31" spans="1:3" x14ac:dyDescent="0.3">
      <c r="A31" s="2" t="s">
        <v>427</v>
      </c>
      <c r="B31">
        <v>15842</v>
      </c>
      <c r="C31">
        <v>125132</v>
      </c>
    </row>
    <row r="32" spans="1:3" x14ac:dyDescent="0.3">
      <c r="A32" s="2" t="s">
        <v>428</v>
      </c>
      <c r="B32">
        <v>19604</v>
      </c>
      <c r="C32">
        <v>104342</v>
      </c>
    </row>
    <row r="33" spans="1:3" x14ac:dyDescent="0.3">
      <c r="A33" s="2" t="s">
        <v>429</v>
      </c>
      <c r="B33">
        <v>19183</v>
      </c>
      <c r="C33">
        <v>142650</v>
      </c>
    </row>
    <row r="34" spans="1:3" x14ac:dyDescent="0.3">
      <c r="A34" s="2" t="s">
        <v>430</v>
      </c>
      <c r="B34">
        <v>23870</v>
      </c>
      <c r="C34">
        <v>158939</v>
      </c>
    </row>
    <row r="35" spans="1:3" x14ac:dyDescent="0.3">
      <c r="A35" s="2" t="s">
        <v>431</v>
      </c>
      <c r="B35">
        <v>27057</v>
      </c>
      <c r="C35">
        <v>163934</v>
      </c>
    </row>
    <row r="36" spans="1:3" x14ac:dyDescent="0.3">
      <c r="A36" s="2" t="s">
        <v>432</v>
      </c>
      <c r="B36">
        <v>18737</v>
      </c>
      <c r="C36">
        <v>92334</v>
      </c>
    </row>
    <row r="37" spans="1:3" x14ac:dyDescent="0.3">
      <c r="A37" s="2" t="s">
        <v>433</v>
      </c>
      <c r="B37">
        <v>27809</v>
      </c>
      <c r="C37">
        <v>143317</v>
      </c>
    </row>
    <row r="38" spans="1:3" x14ac:dyDescent="0.3">
      <c r="A38" s="2" t="s">
        <v>434</v>
      </c>
      <c r="B38">
        <v>22692</v>
      </c>
      <c r="C38">
        <v>148558</v>
      </c>
    </row>
    <row r="39" spans="1:3" x14ac:dyDescent="0.3">
      <c r="A39" s="2" t="s">
        <v>435</v>
      </c>
      <c r="B39">
        <v>28533</v>
      </c>
      <c r="C39">
        <v>71040</v>
      </c>
    </row>
    <row r="40" spans="1:3" x14ac:dyDescent="0.3">
      <c r="A40" s="2" t="s">
        <v>436</v>
      </c>
      <c r="B40">
        <v>13642</v>
      </c>
      <c r="C40">
        <v>125547</v>
      </c>
    </row>
    <row r="41" spans="1:3" x14ac:dyDescent="0.3">
      <c r="A41" s="2" t="s">
        <v>437</v>
      </c>
      <c r="B41">
        <v>17859</v>
      </c>
      <c r="C41">
        <v>123142</v>
      </c>
    </row>
    <row r="42" spans="1:3" x14ac:dyDescent="0.3">
      <c r="A42" s="2" t="s">
        <v>438</v>
      </c>
      <c r="B42">
        <v>30446</v>
      </c>
      <c r="C42">
        <v>122105</v>
      </c>
    </row>
    <row r="43" spans="1:3" x14ac:dyDescent="0.3">
      <c r="A43" s="2" t="s">
        <v>439</v>
      </c>
      <c r="B43">
        <v>20389</v>
      </c>
      <c r="C43">
        <v>117742</v>
      </c>
    </row>
    <row r="44" spans="1:3" x14ac:dyDescent="0.3">
      <c r="A44" s="2" t="s">
        <v>440</v>
      </c>
      <c r="B44">
        <v>17807</v>
      </c>
      <c r="C44">
        <v>120558</v>
      </c>
    </row>
    <row r="45" spans="1:3" x14ac:dyDescent="0.3">
      <c r="A45" s="2" t="s">
        <v>441</v>
      </c>
      <c r="B45">
        <v>28020</v>
      </c>
      <c r="C45">
        <v>195013</v>
      </c>
    </row>
    <row r="46" spans="1:3" x14ac:dyDescent="0.3">
      <c r="A46" s="2" t="s">
        <v>442</v>
      </c>
      <c r="B46">
        <v>25416</v>
      </c>
      <c r="C46">
        <v>119089</v>
      </c>
    </row>
    <row r="47" spans="1:3" x14ac:dyDescent="0.3">
      <c r="A47" s="2" t="s">
        <v>443</v>
      </c>
      <c r="B47">
        <v>15627</v>
      </c>
      <c r="C47">
        <v>160200</v>
      </c>
    </row>
    <row r="48" spans="1:3" x14ac:dyDescent="0.3">
      <c r="A48" s="2" t="s">
        <v>444</v>
      </c>
      <c r="B48">
        <v>20720</v>
      </c>
      <c r="C48">
        <v>156785</v>
      </c>
    </row>
    <row r="49" spans="1:3" x14ac:dyDescent="0.3">
      <c r="A49" s="2" t="s">
        <v>445</v>
      </c>
      <c r="B49">
        <v>24995</v>
      </c>
      <c r="C49">
        <v>143397</v>
      </c>
    </row>
    <row r="50" spans="1:3" x14ac:dyDescent="0.3">
      <c r="A50" s="2" t="s">
        <v>446</v>
      </c>
      <c r="B50">
        <v>22070</v>
      </c>
      <c r="C50">
        <v>143322</v>
      </c>
    </row>
    <row r="51" spans="1:3" x14ac:dyDescent="0.3">
      <c r="A51" s="2" t="s">
        <v>447</v>
      </c>
      <c r="B51">
        <v>17449</v>
      </c>
      <c r="C51">
        <v>130305</v>
      </c>
    </row>
    <row r="52" spans="1:3" x14ac:dyDescent="0.3">
      <c r="A52" s="2" t="s">
        <v>448</v>
      </c>
      <c r="B52">
        <v>16129</v>
      </c>
      <c r="C52">
        <v>134696</v>
      </c>
    </row>
    <row r="53" spans="1:3" x14ac:dyDescent="0.3">
      <c r="A53" s="2" t="s">
        <v>449</v>
      </c>
      <c r="B53">
        <v>18387</v>
      </c>
      <c r="C53">
        <v>153197</v>
      </c>
    </row>
  </sheetData>
  <mergeCells count="1">
    <mergeCell ref="A1:B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BA217-6287-45CB-A5AB-3232D2DB22E9}">
  <dimension ref="B4:L9"/>
  <sheetViews>
    <sheetView tabSelected="1" workbookViewId="0">
      <selection activeCell="B5" sqref="B5:L5"/>
    </sheetView>
  </sheetViews>
  <sheetFormatPr defaultRowHeight="14.4" x14ac:dyDescent="0.3"/>
  <sheetData>
    <row r="4" spans="2:12" x14ac:dyDescent="0.3">
      <c r="B4" s="72" t="s">
        <v>474</v>
      </c>
      <c r="C4" s="72"/>
      <c r="D4" s="72"/>
    </row>
    <row r="5" spans="2:12" x14ac:dyDescent="0.3">
      <c r="B5" s="73" t="s">
        <v>470</v>
      </c>
      <c r="C5" s="72"/>
      <c r="D5" s="72"/>
      <c r="E5" s="72"/>
      <c r="F5" s="72"/>
      <c r="G5" s="72"/>
      <c r="H5" s="72"/>
      <c r="I5" s="72"/>
      <c r="J5" s="72"/>
      <c r="K5" s="72"/>
      <c r="L5" s="72"/>
    </row>
    <row r="8" spans="2:12" x14ac:dyDescent="0.3">
      <c r="B8" t="s">
        <v>472</v>
      </c>
    </row>
    <row r="9" spans="2:12" x14ac:dyDescent="0.3">
      <c r="B9" s="73" t="s">
        <v>473</v>
      </c>
      <c r="C9" s="72"/>
      <c r="D9" s="72"/>
      <c r="E9" s="72"/>
      <c r="F9" s="72"/>
      <c r="G9" s="72"/>
      <c r="H9" s="72"/>
      <c r="I9" s="72"/>
      <c r="J9" s="72"/>
      <c r="K9" s="72"/>
    </row>
  </sheetData>
  <mergeCells count="3">
    <mergeCell ref="B4:D4"/>
    <mergeCell ref="B5:L5"/>
    <mergeCell ref="B9:K9"/>
  </mergeCells>
  <hyperlinks>
    <hyperlink ref="B5" r:id="rId1" xr:uid="{52E45056-CE95-46F1-B402-6C9CEFD2DA39}"/>
    <hyperlink ref="B9" r:id="rId2" xr:uid="{44C10F1A-BB07-4F76-96CC-9548C81C1FC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F9308B7-54D6-4FB9-9355-B5E0B53B4DC6}">
  <ds:schemaRefs/>
</ds:datastoreItem>
</file>

<file path=customXml/itemProps2.xml><?xml version="1.0" encoding="utf-8"?>
<ds:datastoreItem xmlns:ds="http://schemas.openxmlformats.org/officeDocument/2006/customXml" ds:itemID="{203BB223-AFE8-4431-A201-EFF4E542B17B}">
  <ds:schemaRefs/>
</ds:datastoreItem>
</file>

<file path=customXml/itemProps3.xml><?xml version="1.0" encoding="utf-8"?>
<ds:datastoreItem xmlns:ds="http://schemas.openxmlformats.org/officeDocument/2006/customXml" ds:itemID="{80E92386-A5E8-4076-9F27-53B32F2C0900}">
  <ds:schemaRefs/>
</ds:datastoreItem>
</file>

<file path=customXml/itemProps4.xml><?xml version="1.0" encoding="utf-8"?>
<ds:datastoreItem xmlns:ds="http://schemas.openxmlformats.org/officeDocument/2006/customXml" ds:itemID="{D109D0AD-B83D-4023-8979-ED0A3D762AFD}">
  <ds:schemaRefs/>
</ds:datastoreItem>
</file>

<file path=customXml/itemProps5.xml><?xml version="1.0" encoding="utf-8"?>
<ds:datastoreItem xmlns:ds="http://schemas.openxmlformats.org/officeDocument/2006/customXml" ds:itemID="{4C08EB5F-858E-40D5-8D2E-40701EA2F07C}">
  <ds:schemaRefs/>
</ds:datastoreItem>
</file>

<file path=customXml/itemProps6.xml><?xml version="1.0" encoding="utf-8"?>
<ds:datastoreItem xmlns:ds="http://schemas.openxmlformats.org/officeDocument/2006/customXml" ds:itemID="{A36377A1-EEAA-4E3A-832D-4A1166CCC43A}">
  <ds:schemaRefs/>
</ds:datastoreItem>
</file>

<file path=customXml/itemProps7.xml><?xml version="1.0" encoding="utf-8"?>
<ds:datastoreItem xmlns:ds="http://schemas.openxmlformats.org/officeDocument/2006/customXml" ds:itemID="{09F95C1C-F2A5-41F4-8086-C0A14646B999}">
  <ds:schemaRefs/>
</ds:datastoreItem>
</file>

<file path=customXml/itemProps8.xml><?xml version="1.0" encoding="utf-8"?>
<ds:datastoreItem xmlns:ds="http://schemas.openxmlformats.org/officeDocument/2006/customXml" ds:itemID="{7BFD3F5B-BF8E-4A9E-9AD3-B5A10F45D16A}">
  <ds:schemaRefs/>
</ds:datastoreItem>
</file>

<file path=customXml/itemProps9.xml><?xml version="1.0" encoding="utf-8"?>
<ds:datastoreItem xmlns:ds="http://schemas.openxmlformats.org/officeDocument/2006/customXml" ds:itemID="{046319B9-E68D-4640-89E5-79F26556C0C6}">
  <ds:schemaRefs/>
</ds:datastoreItem>
</file>

<file path=customXml/itemProps10.xml><?xml version="1.0" encoding="utf-8"?>
<ds:datastoreItem xmlns:ds="http://schemas.openxmlformats.org/officeDocument/2006/customXml" ds:itemID="{6DA49FA9-2ED8-48A9-927D-DA29365C86D4}">
  <ds:schemaRefs/>
</ds:datastoreItem>
</file>

<file path=customXml/itemProps11.xml><?xml version="1.0" encoding="utf-8"?>
<ds:datastoreItem xmlns:ds="http://schemas.openxmlformats.org/officeDocument/2006/customXml" ds:itemID="{2198D09D-D4F9-45F3-976F-4FC6A13FD2BE}">
  <ds:schemaRefs/>
</ds:datastoreItem>
</file>

<file path=customXml/itemProps12.xml><?xml version="1.0" encoding="utf-8"?>
<ds:datastoreItem xmlns:ds="http://schemas.openxmlformats.org/officeDocument/2006/customXml" ds:itemID="{239E741D-43D1-4F9E-AB40-1EAA505D348D}">
  <ds:schemaRefs/>
</ds:datastoreItem>
</file>

<file path=customXml/itemProps13.xml><?xml version="1.0" encoding="utf-8"?>
<ds:datastoreItem xmlns:ds="http://schemas.openxmlformats.org/officeDocument/2006/customXml" ds:itemID="{69978194-DD19-4E8F-9E28-7C285A3C199A}">
  <ds:schemaRefs/>
</ds:datastoreItem>
</file>

<file path=customXml/itemProps14.xml><?xml version="1.0" encoding="utf-8"?>
<ds:datastoreItem xmlns:ds="http://schemas.openxmlformats.org/officeDocument/2006/customXml" ds:itemID="{DCB77B0D-F98F-4627-B6F8-AC5A27E82EFB}">
  <ds:schemaRefs/>
</ds:datastoreItem>
</file>

<file path=customXml/itemProps15.xml><?xml version="1.0" encoding="utf-8"?>
<ds:datastoreItem xmlns:ds="http://schemas.openxmlformats.org/officeDocument/2006/customXml" ds:itemID="{1A258E85-72F7-4FD9-B3B7-58F18A07A1D9}">
  <ds:schemaRefs/>
</ds:datastoreItem>
</file>

<file path=customXml/itemProps16.xml><?xml version="1.0" encoding="utf-8"?>
<ds:datastoreItem xmlns:ds="http://schemas.openxmlformats.org/officeDocument/2006/customXml" ds:itemID="{5BEBC73C-18D2-4AE8-8372-4C1EAD7F1188}">
  <ds:schemaRefs>
    <ds:schemaRef ds:uri="http://schemas.microsoft.com/DataMashup"/>
  </ds:schemaRefs>
</ds:datastoreItem>
</file>

<file path=customXml/itemProps17.xml><?xml version="1.0" encoding="utf-8"?>
<ds:datastoreItem xmlns:ds="http://schemas.openxmlformats.org/officeDocument/2006/customXml" ds:itemID="{C65E4ECC-2F54-42EF-B64C-9F63EDC836EA}">
  <ds:schemaRefs/>
</ds:datastoreItem>
</file>

<file path=customXml/itemProps18.xml><?xml version="1.0" encoding="utf-8"?>
<ds:datastoreItem xmlns:ds="http://schemas.openxmlformats.org/officeDocument/2006/customXml" ds:itemID="{98F2D12F-1AE7-42AD-8899-A5E93B7483CF}">
  <ds:schemaRefs/>
</ds:datastoreItem>
</file>

<file path=customXml/itemProps19.xml><?xml version="1.0" encoding="utf-8"?>
<ds:datastoreItem xmlns:ds="http://schemas.openxmlformats.org/officeDocument/2006/customXml" ds:itemID="{318BA5AF-DF52-4DD8-AB03-0B3700E8CF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31</vt:i4>
      </vt:variant>
    </vt:vector>
  </HeadingPairs>
  <TitlesOfParts>
    <vt:vector size="55" baseType="lpstr">
      <vt:lpstr>Posts</vt:lpstr>
      <vt:lpstr>Engagement Summary</vt:lpstr>
      <vt:lpstr>Campaign Metadata</vt:lpstr>
      <vt:lpstr>Task 2.1</vt:lpstr>
      <vt:lpstr>Task 2.2</vt:lpstr>
      <vt:lpstr>Task 2.3a</vt:lpstr>
      <vt:lpstr>Task 2.3b</vt:lpstr>
      <vt:lpstr>Task 2.4</vt:lpstr>
      <vt:lpstr>Task 3.1</vt:lpstr>
      <vt:lpstr>Task 3.2</vt:lpstr>
      <vt:lpstr>Task 3.3 &amp; 3.4</vt:lpstr>
      <vt:lpstr>Task 4.1</vt:lpstr>
      <vt:lpstr>Task 4.2</vt:lpstr>
      <vt:lpstr>Task 4.3</vt:lpstr>
      <vt:lpstr>Task 4.4</vt:lpstr>
      <vt:lpstr>Task 5.1a</vt:lpstr>
      <vt:lpstr>Task 5.1b</vt:lpstr>
      <vt:lpstr>Task 5.2</vt:lpstr>
      <vt:lpstr>Task 6.1 </vt:lpstr>
      <vt:lpstr>Task 6.2</vt:lpstr>
      <vt:lpstr>Task 6.3</vt:lpstr>
      <vt:lpstr>Task 6.4</vt:lpstr>
      <vt:lpstr>Sheet</vt:lpstr>
      <vt:lpstr>Approach Document and Video Lin</vt:lpstr>
      <vt:lpstr>'Campaign Metadata'!Ad_Spend</vt:lpstr>
      <vt:lpstr>Ad_Spend</vt:lpstr>
      <vt:lpstr>Posts!Campaign</vt:lpstr>
      <vt:lpstr>Campaign</vt:lpstr>
      <vt:lpstr>Campaign_End_Date</vt:lpstr>
      <vt:lpstr>Campaign_Name</vt:lpstr>
      <vt:lpstr>Campaign_Start_Date</vt:lpstr>
      <vt:lpstr>Clicks</vt:lpstr>
      <vt:lpstr>Comments</vt:lpstr>
      <vt:lpstr>ContentType</vt:lpstr>
      <vt:lpstr>Date</vt:lpstr>
      <vt:lpstr>End_Date</vt:lpstr>
      <vt:lpstr>Posts!Engagement_Rate</vt:lpstr>
      <vt:lpstr>Engagement_Rate</vt:lpstr>
      <vt:lpstr>Engagement_Uplift</vt:lpstr>
      <vt:lpstr>Hashtags</vt:lpstr>
      <vt:lpstr>'Campaign Metadata'!Impressions</vt:lpstr>
      <vt:lpstr>Impressions</vt:lpstr>
      <vt:lpstr>Likes</vt:lpstr>
      <vt:lpstr>New_Followers</vt:lpstr>
      <vt:lpstr>Objective</vt:lpstr>
      <vt:lpstr>Posts!Platform</vt:lpstr>
      <vt:lpstr>Platform</vt:lpstr>
      <vt:lpstr>PostID</vt:lpstr>
      <vt:lpstr>Reach</vt:lpstr>
      <vt:lpstr>Shares</vt:lpstr>
      <vt:lpstr>Start_Date</vt:lpstr>
      <vt:lpstr>Timeline</vt:lpstr>
      <vt:lpstr>Total_Followers</vt:lpstr>
      <vt:lpstr>Unfollows</vt:lpstr>
      <vt:lpstr>Week_Start_Date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Vasave</dc:creator>
  <cp:lastModifiedBy>Akanksha Vasave</cp:lastModifiedBy>
  <dcterms:created xsi:type="dcterms:W3CDTF">2025-11-09T17:24:16Z</dcterms:created>
  <dcterms:modified xsi:type="dcterms:W3CDTF">2025-11-17T18:21:52Z</dcterms:modified>
</cp:coreProperties>
</file>